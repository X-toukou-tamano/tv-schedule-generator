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G:\共有ドライブ\玉野包括プロジェクト\6.経理\24.開催カレンダー半期格納フォルダ\R8.上半期\"/>
    </mc:Choice>
  </mc:AlternateContent>
  <xr:revisionPtr revIDLastSave="0" documentId="13_ncr:1_{9787200F-B70C-45A6-B3AE-C942B2C68C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Ｒ８上半期" sheetId="6" r:id="rId1"/>
    <sheet name="Sheet2" sheetId="2" r:id="rId2"/>
    <sheet name="Sheet3" sheetId="3" r:id="rId3"/>
  </sheets>
  <definedNames>
    <definedName name="_xlnm.Print_Area" localSheetId="0">'Ｒ８上半期'!$B$1:$AH$237</definedName>
    <definedName name="_xlnm.Print_Titles" localSheetId="0">'Ｒ８上半期'!$2:$2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5" i="6" l="1"/>
  <c r="AW45" i="6" s="1"/>
  <c r="AO45" i="6"/>
  <c r="AQ45" i="6" s="1"/>
  <c r="AU44" i="6"/>
  <c r="AW44" i="6" s="1"/>
  <c r="AQ44" i="6"/>
  <c r="AO44" i="6"/>
  <c r="AX44" i="6" s="1"/>
  <c r="AY44" i="6" s="1"/>
  <c r="AU43" i="6"/>
  <c r="AO43" i="6"/>
  <c r="AX43" i="6" s="1"/>
  <c r="AY43" i="6" s="1"/>
  <c r="AX42" i="6"/>
  <c r="AY42" i="6" s="1"/>
  <c r="AU42" i="6"/>
  <c r="AQ42" i="6"/>
  <c r="AO42" i="6"/>
  <c r="AU41" i="6"/>
  <c r="AX41" i="6" s="1"/>
  <c r="AY41" i="6" s="1"/>
  <c r="AO41" i="6"/>
  <c r="AQ41" i="6" s="1"/>
  <c r="AU40" i="6"/>
  <c r="AW40" i="6" s="1"/>
  <c r="AO40" i="6"/>
  <c r="AX40" i="6" s="1"/>
  <c r="AY40" i="6" s="1"/>
  <c r="AU39" i="6"/>
  <c r="AW39" i="6" s="1"/>
  <c r="AO39" i="6"/>
  <c r="AX39" i="6" s="1"/>
  <c r="AY39" i="6" s="1"/>
  <c r="AU38" i="6"/>
  <c r="AW38" i="6" s="1"/>
  <c r="AO38" i="6"/>
  <c r="AQ38" i="6" s="1"/>
  <c r="AX37" i="6"/>
  <c r="AY37" i="6" s="1"/>
  <c r="AW37" i="6"/>
  <c r="AU37" i="6"/>
  <c r="AO37" i="6"/>
  <c r="AQ37" i="6" s="1"/>
  <c r="AU36" i="6"/>
  <c r="AO36" i="6"/>
  <c r="AX36" i="6" s="1"/>
  <c r="AY36" i="6" s="1"/>
  <c r="AU35" i="6"/>
  <c r="AW35" i="6" s="1"/>
  <c r="AO35" i="6"/>
  <c r="AU34" i="6"/>
  <c r="AO34" i="6"/>
  <c r="AQ34" i="6" s="1"/>
  <c r="AU33" i="6"/>
  <c r="AW33" i="6" s="1"/>
  <c r="AO33" i="6"/>
  <c r="AX33" i="6" s="1"/>
  <c r="AY33" i="6" s="1"/>
  <c r="AU32" i="6"/>
  <c r="AX32" i="6" s="1"/>
  <c r="AY32" i="6" s="1"/>
  <c r="AQ32" i="6"/>
  <c r="AO32" i="6"/>
  <c r="AU31" i="6"/>
  <c r="AW31" i="6" s="1"/>
  <c r="AO31" i="6"/>
  <c r="AX31" i="6" s="1"/>
  <c r="AY31" i="6" s="1"/>
  <c r="AU30" i="6"/>
  <c r="AW30" i="6" s="1"/>
  <c r="AO30" i="6"/>
  <c r="AQ30" i="6" s="1"/>
  <c r="AU29" i="6"/>
  <c r="AO29" i="6"/>
  <c r="AX29" i="6" s="1"/>
  <c r="AY29" i="6" s="1"/>
  <c r="AU28" i="6"/>
  <c r="AW28" i="6" s="1"/>
  <c r="AO28" i="6"/>
  <c r="AX28" i="6" s="1"/>
  <c r="AY28" i="6" s="1"/>
  <c r="AU27" i="6"/>
  <c r="AX27" i="6" s="1"/>
  <c r="AY27" i="6" s="1"/>
  <c r="AQ27" i="6"/>
  <c r="AO27" i="6"/>
  <c r="AW26" i="6"/>
  <c r="AU26" i="6"/>
  <c r="AO26" i="6"/>
  <c r="AX26" i="6" s="1"/>
  <c r="AY26" i="6" s="1"/>
  <c r="AW25" i="6"/>
  <c r="AU25" i="6"/>
  <c r="AO25" i="6"/>
  <c r="AQ25" i="6" s="1"/>
  <c r="AX24" i="6"/>
  <c r="AY24" i="6" s="1"/>
  <c r="AW24" i="6"/>
  <c r="AU24" i="6"/>
  <c r="AQ24" i="6"/>
  <c r="AO24" i="6"/>
  <c r="AU23" i="6"/>
  <c r="AO23" i="6"/>
  <c r="AX23" i="6" s="1"/>
  <c r="AY23" i="6" s="1"/>
  <c r="AU22" i="6"/>
  <c r="AW22" i="6" s="1"/>
  <c r="AO22" i="6"/>
  <c r="AQ22" i="6" s="1"/>
  <c r="AX21" i="6"/>
  <c r="AY21" i="6" s="1"/>
  <c r="AW21" i="6"/>
  <c r="AU21" i="6"/>
  <c r="AQ21" i="6"/>
  <c r="AO21" i="6"/>
  <c r="AU20" i="6"/>
  <c r="AW20" i="6" s="1"/>
  <c r="AO20" i="6"/>
  <c r="AQ20" i="6" s="1"/>
  <c r="AU19" i="6"/>
  <c r="AW19" i="6" s="1"/>
  <c r="AO19" i="6"/>
  <c r="AQ19" i="6" s="1"/>
  <c r="AW18" i="6"/>
  <c r="AU18" i="6"/>
  <c r="AO18" i="6"/>
  <c r="AX18" i="6" s="1"/>
  <c r="AY18" i="6" s="1"/>
  <c r="AU17" i="6"/>
  <c r="AW17" i="6" s="1"/>
  <c r="AO17" i="6"/>
  <c r="AQ17" i="6" s="1"/>
  <c r="AU15" i="6"/>
  <c r="AW15" i="6" s="1"/>
  <c r="AO15" i="6"/>
  <c r="AQ15" i="6" s="1"/>
  <c r="AW14" i="6"/>
  <c r="AU14" i="6"/>
  <c r="AO14" i="6"/>
  <c r="AX14" i="6" s="1"/>
  <c r="AY14" i="6" s="1"/>
  <c r="AU13" i="6"/>
  <c r="AW13" i="6" s="1"/>
  <c r="AO13" i="6"/>
  <c r="AQ13" i="6" s="1"/>
  <c r="AW12" i="6"/>
  <c r="AU12" i="6"/>
  <c r="AO12" i="6"/>
  <c r="AX12" i="6" s="1"/>
  <c r="AY12" i="6" s="1"/>
  <c r="AU11" i="6"/>
  <c r="AW11" i="6" s="1"/>
  <c r="AO11" i="6"/>
  <c r="AX11" i="6" s="1"/>
  <c r="AY11" i="6" s="1"/>
  <c r="AU10" i="6"/>
  <c r="AW10" i="6" s="1"/>
  <c r="AO10" i="6"/>
  <c r="AQ10" i="6" s="1"/>
  <c r="AU9" i="6"/>
  <c r="AW9" i="6" s="1"/>
  <c r="AO9" i="6"/>
  <c r="AX9" i="6" s="1"/>
  <c r="AY9" i="6" s="1"/>
  <c r="AU8" i="6"/>
  <c r="AW8" i="6" s="1"/>
  <c r="AO8" i="6"/>
  <c r="AQ8" i="6" s="1"/>
  <c r="AX7" i="6"/>
  <c r="AY7" i="6" s="1"/>
  <c r="AU7" i="6"/>
  <c r="AW7" i="6" s="1"/>
  <c r="AQ7" i="6"/>
  <c r="AO7" i="6"/>
  <c r="AP14" i="6" s="1"/>
  <c r="AU6" i="6"/>
  <c r="AW6" i="6" s="1"/>
  <c r="AO6" i="6"/>
  <c r="AQ6" i="6" s="1"/>
  <c r="AX5" i="6"/>
  <c r="AY5" i="6" s="1"/>
  <c r="AU5" i="6"/>
  <c r="AV6" i="6" s="1"/>
  <c r="AQ5" i="6"/>
  <c r="AO5" i="6"/>
  <c r="AU4" i="6"/>
  <c r="AX4" i="6" s="1"/>
  <c r="AY4" i="6" s="1"/>
  <c r="AQ4" i="6"/>
  <c r="AO4" i="6"/>
  <c r="AO46" i="6" s="1"/>
  <c r="AQ29" i="6" l="1"/>
  <c r="AV33" i="6"/>
  <c r="AX34" i="6"/>
  <c r="AY34" i="6" s="1"/>
  <c r="AQ36" i="6"/>
  <c r="AV39" i="6"/>
  <c r="AW29" i="6"/>
  <c r="AP39" i="6"/>
  <c r="AX19" i="6"/>
  <c r="AY19" i="6" s="1"/>
  <c r="AQ11" i="6"/>
  <c r="AX45" i="6"/>
  <c r="AY45" i="6" s="1"/>
  <c r="AQ14" i="6"/>
  <c r="AX17" i="6"/>
  <c r="AY17" i="6" s="1"/>
  <c r="AX22" i="6"/>
  <c r="AY22" i="6" s="1"/>
  <c r="AP28" i="6"/>
  <c r="AP33" i="6"/>
  <c r="AX35" i="6"/>
  <c r="AY35" i="6" s="1"/>
  <c r="AQ9" i="6"/>
  <c r="AX25" i="6"/>
  <c r="AY25" i="6" s="1"/>
  <c r="AQ28" i="6"/>
  <c r="AX30" i="6"/>
  <c r="AY30" i="6" s="1"/>
  <c r="AQ33" i="6"/>
  <c r="AX38" i="6"/>
  <c r="AY38" i="6" s="1"/>
  <c r="AX13" i="6"/>
  <c r="AY13" i="6" s="1"/>
  <c r="AW32" i="6"/>
  <c r="AQ35" i="6"/>
  <c r="AV14" i="6"/>
  <c r="AX20" i="6"/>
  <c r="AY20" i="6" s="1"/>
  <c r="AX10" i="6"/>
  <c r="AY10" i="6" s="1"/>
  <c r="AP6" i="6"/>
  <c r="AX8" i="6"/>
  <c r="AY8" i="6" s="1"/>
  <c r="AV28" i="6"/>
  <c r="AX15" i="6"/>
  <c r="AY15" i="6" s="1"/>
  <c r="AV45" i="6"/>
  <c r="AX6" i="6"/>
  <c r="AY6" i="6" s="1"/>
  <c r="AQ18" i="6"/>
  <c r="AQ23" i="6"/>
  <c r="AW4" i="6"/>
  <c r="AQ26" i="6"/>
  <c r="AQ31" i="6"/>
  <c r="AW41" i="6"/>
  <c r="AQ40" i="6"/>
  <c r="AQ12" i="6"/>
  <c r="AP21" i="6"/>
  <c r="AQ39" i="6"/>
  <c r="AQ43" i="6"/>
  <c r="AV21" i="6"/>
  <c r="AP45" i="6"/>
  <c r="AW27" i="6"/>
</calcChain>
</file>

<file path=xl/sharedStrings.xml><?xml version="1.0" encoding="utf-8"?>
<sst xmlns="http://schemas.openxmlformats.org/spreadsheetml/2006/main" count="1523" uniqueCount="319">
  <si>
    <r>
      <t xml:space="preserve">取手 </t>
    </r>
    <r>
      <rPr>
        <b/>
        <sz val="11"/>
        <color rgb="FFFF0000"/>
        <rFont val="ＭＳ Ｐゴシック"/>
        <family val="3"/>
        <charset val="128"/>
      </rPr>
      <t>G</t>
    </r>
    <rPh sb="0" eb="2">
      <t>とりで</t>
    </rPh>
    <phoneticPr fontId="1" type="Hiragana"/>
  </si>
  <si>
    <t>四日市</t>
    <rPh sb="0" eb="3">
      <t>よっかいち</t>
    </rPh>
    <phoneticPr fontId="1" type="Hiragana"/>
  </si>
  <si>
    <t>月</t>
  </si>
  <si>
    <t>岸和田</t>
    <rPh sb="0" eb="3">
      <t>きしわだ</t>
    </rPh>
    <phoneticPr fontId="1" type="Hiragana"/>
  </si>
  <si>
    <t>-</t>
  </si>
  <si>
    <t>木</t>
    <rPh sb="0" eb="1">
      <t>モク</t>
    </rPh>
    <phoneticPr fontId="1"/>
  </si>
  <si>
    <t>名古屋</t>
    <rPh sb="0" eb="3">
      <t>なごや</t>
    </rPh>
    <phoneticPr fontId="1" type="Hiragana"/>
  </si>
  <si>
    <t>①高松MNK</t>
    <rPh sb="1" eb="3">
      <t>タカマツ</t>
    </rPh>
    <phoneticPr fontId="1"/>
  </si>
  <si>
    <t>木</t>
  </si>
  <si>
    <r>
      <t>取手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とりで</t>
    </rPh>
    <phoneticPr fontId="1" type="Hiragana"/>
  </si>
  <si>
    <t>前橋GⅢ</t>
    <rPh sb="0" eb="2">
      <t>まえばし</t>
    </rPh>
    <phoneticPr fontId="1" type="Hiragana"/>
  </si>
  <si>
    <t>九州</t>
    <rPh sb="0" eb="2">
      <t>きゅうしゅう</t>
    </rPh>
    <phoneticPr fontId="1" type="Hiragana"/>
  </si>
  <si>
    <t>伊東温泉</t>
    <rPh sb="0" eb="2">
      <t>いとう</t>
    </rPh>
    <rPh sb="2" eb="4">
      <t>おんせん</t>
    </rPh>
    <phoneticPr fontId="1" type="Hiragana"/>
  </si>
  <si>
    <t>函館</t>
    <rPh sb="0" eb="2">
      <t>はこだて</t>
    </rPh>
    <phoneticPr fontId="1" type="Hiragana"/>
  </si>
  <si>
    <t>京都向日町</t>
    <rPh sb="0" eb="2">
      <t>きょうと</t>
    </rPh>
    <rPh sb="2" eb="5">
      <t>むこうまち</t>
    </rPh>
    <phoneticPr fontId="1" type="Hiragana"/>
  </si>
  <si>
    <r>
      <t xml:space="preserve">③高松MNK </t>
    </r>
    <r>
      <rPr>
        <b/>
        <sz val="11"/>
        <color rgb="FFFF0000"/>
        <rFont val="ＭＳ Ｐゴシック"/>
        <family val="3"/>
        <charset val="128"/>
      </rPr>
      <t>G</t>
    </r>
    <rPh sb="1" eb="3">
      <t>タカマツ</t>
    </rPh>
    <phoneticPr fontId="1"/>
  </si>
  <si>
    <t>武雄</t>
    <rPh sb="0" eb="2">
      <t>たけお</t>
    </rPh>
    <phoneticPr fontId="1" type="Hiragana"/>
  </si>
  <si>
    <t>小倉</t>
    <rPh sb="0" eb="2">
      <t>こくら</t>
    </rPh>
    <phoneticPr fontId="1" type="Hiragana"/>
  </si>
  <si>
    <t>松戸</t>
    <rPh sb="0" eb="2">
      <t>まつど</t>
    </rPh>
    <phoneticPr fontId="1" type="Hiragana"/>
  </si>
  <si>
    <t>G</t>
  </si>
  <si>
    <t>宇都宮</t>
    <rPh sb="0" eb="3">
      <t>うつのみや</t>
    </rPh>
    <phoneticPr fontId="1" type="Hiragana"/>
  </si>
  <si>
    <t>水</t>
  </si>
  <si>
    <t>名古屋</t>
    <rPh sb="0" eb="3">
      <t>ナゴヤ</t>
    </rPh>
    <phoneticPr fontId="1"/>
  </si>
  <si>
    <r>
      <t>四日市　ワールドS</t>
    </r>
    <r>
      <rPr>
        <b/>
        <sz val="9"/>
        <color rgb="FFFF0000"/>
        <rFont val="ＭＳ Ｐゴシック"/>
        <family val="3"/>
        <charset val="128"/>
      </rPr>
      <t>G</t>
    </r>
    <rPh sb="0" eb="3">
      <t>よっかいち</t>
    </rPh>
    <phoneticPr fontId="1" type="Hiragana"/>
  </si>
  <si>
    <t>武雄全プロ</t>
    <rPh sb="0" eb="2">
      <t>たけお</t>
    </rPh>
    <rPh sb="2" eb="3">
      <t>ぜん</t>
    </rPh>
    <phoneticPr fontId="1" type="Hiragana"/>
  </si>
  <si>
    <t>中四国</t>
    <rPh sb="0" eb="3">
      <t>ちゅうしこく</t>
    </rPh>
    <phoneticPr fontId="1" type="Hiragana"/>
  </si>
  <si>
    <r>
      <t xml:space="preserve">福井in大垣 </t>
    </r>
    <r>
      <rPr>
        <b/>
        <sz val="11"/>
        <color rgb="FFFF0000"/>
        <rFont val="ＭＳ Ｐゴシック"/>
        <family val="3"/>
        <charset val="128"/>
      </rPr>
      <t>G</t>
    </r>
    <rPh sb="0" eb="2">
      <t>ふくい</t>
    </rPh>
    <rPh sb="4" eb="6">
      <t>おおがき</t>
    </rPh>
    <phoneticPr fontId="1" type="Hiragana"/>
  </si>
  <si>
    <t>佐世保</t>
    <rPh sb="0" eb="3">
      <t>させぼ</t>
    </rPh>
    <phoneticPr fontId="1" type="Hiragana"/>
  </si>
  <si>
    <t>南関東</t>
    <rPh sb="0" eb="3">
      <t>みなみかんとう</t>
    </rPh>
    <phoneticPr fontId="1" type="Hiragana"/>
  </si>
  <si>
    <t>金</t>
  </si>
  <si>
    <t>土</t>
  </si>
  <si>
    <t>小松島記念</t>
    <rPh sb="0" eb="3">
      <t>こまつしま</t>
    </rPh>
    <rPh sb="3" eb="5">
      <t>きねん</t>
    </rPh>
    <phoneticPr fontId="1" type="Hiragana"/>
  </si>
  <si>
    <t>日</t>
  </si>
  <si>
    <r>
      <t xml:space="preserve">奈良 </t>
    </r>
    <r>
      <rPr>
        <b/>
        <sz val="11"/>
        <color rgb="FFFF0000"/>
        <rFont val="ＭＳ Ｐゴシック"/>
        <family val="3"/>
        <charset val="128"/>
      </rPr>
      <t>G</t>
    </r>
    <rPh sb="0" eb="2">
      <t>なら</t>
    </rPh>
    <phoneticPr fontId="1" type="Hiragana"/>
  </si>
  <si>
    <t>前橋</t>
    <rPh sb="0" eb="2">
      <t>まえばし</t>
    </rPh>
    <phoneticPr fontId="1" type="Hiragana"/>
  </si>
  <si>
    <t>武雄</t>
    <rPh sb="0" eb="2">
      <t>タケオ</t>
    </rPh>
    <phoneticPr fontId="1"/>
  </si>
  <si>
    <t>西武園</t>
    <rPh sb="0" eb="3">
      <t>せいぶえん</t>
    </rPh>
    <phoneticPr fontId="1" type="Hiragana"/>
  </si>
  <si>
    <t>火</t>
  </si>
  <si>
    <t>青森</t>
    <rPh sb="0" eb="2">
      <t>あおもり</t>
    </rPh>
    <phoneticPr fontId="1" type="Hiragana"/>
  </si>
  <si>
    <r>
      <t>岐阜</t>
    </r>
    <r>
      <rPr>
        <b/>
        <sz val="11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</si>
  <si>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r>
      <t xml:space="preserve">5-2 MNK </t>
    </r>
    <r>
      <rPr>
        <b/>
        <sz val="11"/>
        <color rgb="FFFF0000"/>
        <rFont val="ＭＳ Ｐゴシック"/>
        <family val="3"/>
        <charset val="128"/>
      </rPr>
      <t>G</t>
    </r>
  </si>
  <si>
    <t>関東</t>
    <rPh sb="0" eb="2">
      <t>かんとう</t>
    </rPh>
    <phoneticPr fontId="1" type="Hiragana"/>
  </si>
  <si>
    <t>いわき平</t>
    <rPh sb="3" eb="4">
      <t>たいら</t>
    </rPh>
    <phoneticPr fontId="1" type="Hiragana"/>
  </si>
  <si>
    <t>静岡</t>
    <rPh sb="0" eb="2">
      <t>しずおか</t>
    </rPh>
    <phoneticPr fontId="1" type="Hiragana"/>
  </si>
  <si>
    <t>別府</t>
    <rPh sb="0" eb="2">
      <t>べっぷ</t>
    </rPh>
    <phoneticPr fontId="1" type="Hiragana"/>
  </si>
  <si>
    <r>
      <t xml:space="preserve">岐阜　ワールドS </t>
    </r>
    <r>
      <rPr>
        <b/>
        <sz val="10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</si>
  <si>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t>全発売</t>
    <rPh sb="0" eb="1">
      <t>ぜん</t>
    </rPh>
    <rPh sb="1" eb="3">
      <t>はつばい</t>
    </rPh>
    <phoneticPr fontId="1" type="Hiragana"/>
  </si>
  <si>
    <t>北日本</t>
    <rPh sb="0" eb="3">
      <t>きたにほん</t>
    </rPh>
    <phoneticPr fontId="1" type="Hiragana"/>
  </si>
  <si>
    <t>広島</t>
    <rPh sb="0" eb="2">
      <t>ひろしま</t>
    </rPh>
    <phoneticPr fontId="1" type="Hiragana"/>
  </si>
  <si>
    <t>取手</t>
    <rPh sb="0" eb="2">
      <t>とりで</t>
    </rPh>
    <phoneticPr fontId="1" type="Hiragana"/>
  </si>
  <si>
    <t>中部</t>
    <rPh sb="0" eb="2">
      <t>ちゅうぶ</t>
    </rPh>
    <phoneticPr fontId="1" type="Hiragana"/>
  </si>
  <si>
    <t>富山</t>
    <rPh sb="0" eb="2">
      <t>とやま</t>
    </rPh>
    <phoneticPr fontId="1" type="Hiragana"/>
  </si>
  <si>
    <r>
      <t>防府 ワールドS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ほうふ</t>
    </rPh>
    <phoneticPr fontId="1" type="Hiragana"/>
  </si>
  <si>
    <t>FⅠ</t>
  </si>
  <si>
    <t>岐阜</t>
    <rPh sb="0" eb="2">
      <t>ぎふ</t>
    </rPh>
    <phoneticPr fontId="1" type="Hiragana"/>
  </si>
  <si>
    <t>前橋</t>
    <rPh sb="0" eb="2">
      <t>マエバシ</t>
    </rPh>
    <phoneticPr fontId="1"/>
  </si>
  <si>
    <r>
      <t xml:space="preserve">松阪GⅢN </t>
    </r>
    <r>
      <rPr>
        <b/>
        <sz val="11"/>
        <color rgb="FFFF0000"/>
        <rFont val="ＭＳ Ｐゴシック"/>
        <family val="3"/>
        <charset val="128"/>
      </rPr>
      <t>G</t>
    </r>
    <rPh sb="0" eb="2">
      <t>まつさか</t>
    </rPh>
    <phoneticPr fontId="1" type="Hiragana"/>
  </si>
  <si>
    <t>近畿</t>
    <rPh sb="0" eb="2">
      <t>きんき</t>
    </rPh>
    <phoneticPr fontId="1" type="Hiragana"/>
  </si>
  <si>
    <t>FⅠN</t>
  </si>
  <si>
    <t>宇都宮</t>
    <rPh sb="0" eb="3">
      <t>うつのみや</t>
    </rPh>
    <phoneticPr fontId="1" type="Hiragana"/>
  </si>
  <si>
    <t>久留米記念</t>
    <rPh sb="0" eb="3">
      <t>くるめ</t>
    </rPh>
    <rPh sb="3" eb="5">
      <t>きねん</t>
    </rPh>
    <phoneticPr fontId="1" type="Hiragana"/>
  </si>
  <si>
    <t>和歌山</t>
    <rPh sb="0" eb="3">
      <t>わかやま</t>
    </rPh>
    <phoneticPr fontId="1" type="Hiragana"/>
  </si>
  <si>
    <t>小田原</t>
    <rPh sb="0" eb="3">
      <t>おだわら</t>
    </rPh>
    <phoneticPr fontId="1" type="Hiragana"/>
  </si>
  <si>
    <t>京都向日町記念in奈良</t>
    <rPh sb="0" eb="2">
      <t>きょうと</t>
    </rPh>
    <rPh sb="2" eb="5">
      <t>むこうまち</t>
    </rPh>
    <rPh sb="5" eb="7">
      <t>きねん</t>
    </rPh>
    <rPh sb="9" eb="11">
      <t>なら</t>
    </rPh>
    <phoneticPr fontId="1" type="Hiragana"/>
  </si>
  <si>
    <t>FⅡ</t>
  </si>
  <si>
    <t>FⅡN</t>
  </si>
  <si>
    <t>川崎</t>
    <rPh sb="0" eb="2">
      <t>かわさき</t>
    </rPh>
    <phoneticPr fontId="1" type="Hiragana"/>
  </si>
  <si>
    <r>
      <t>防府　ワールドS</t>
    </r>
    <r>
      <rPr>
        <b/>
        <sz val="10"/>
        <color rgb="FFFF0000"/>
        <rFont val="ＭＳ Ｐゴシック"/>
        <family val="3"/>
        <charset val="128"/>
      </rPr>
      <t xml:space="preserve"> G</t>
    </r>
    <rPh sb="0" eb="2">
      <t>ほうふ</t>
    </rPh>
    <phoneticPr fontId="1" type="Hiragana"/>
  </si>
  <si>
    <t>岐阜</t>
    <rPh sb="0" eb="2">
      <t>ギフ</t>
    </rPh>
    <phoneticPr fontId="1"/>
  </si>
  <si>
    <t>GN</t>
  </si>
  <si>
    <r>
      <t xml:space="preserve">ミッドGⅢ伊東温泉 </t>
    </r>
    <r>
      <rPr>
        <b/>
        <sz val="9"/>
        <color rgb="FFFF0000"/>
        <rFont val="ＭＳ Ｐゴシック"/>
        <family val="3"/>
        <charset val="128"/>
      </rPr>
      <t>G</t>
    </r>
    <rPh sb="5" eb="7">
      <t>イトウ</t>
    </rPh>
    <rPh sb="7" eb="9">
      <t>オンセン</t>
    </rPh>
    <phoneticPr fontId="1"/>
  </si>
  <si>
    <t>玉野</t>
    <rPh sb="0" eb="2">
      <t>たまの</t>
    </rPh>
    <phoneticPr fontId="1" type="Hiragana"/>
  </si>
  <si>
    <t>松山</t>
    <rPh sb="0" eb="2">
      <t>まつやま</t>
    </rPh>
    <phoneticPr fontId="1" type="Hiragana"/>
  </si>
  <si>
    <t>非開催</t>
    <rPh sb="0" eb="3">
      <t>ひかいさい</t>
    </rPh>
    <phoneticPr fontId="1" type="Hiragana"/>
  </si>
  <si>
    <t>京王閣</t>
    <rPh sb="0" eb="2">
      <t>けいおう</t>
    </rPh>
    <rPh sb="2" eb="3">
      <t>かく</t>
    </rPh>
    <phoneticPr fontId="1" type="Hiragana"/>
  </si>
  <si>
    <t>伊東温泉</t>
  </si>
  <si>
    <t>福井</t>
    <rPh sb="0" eb="2">
      <t>ふくい</t>
    </rPh>
    <phoneticPr fontId="1" type="Hiragana"/>
  </si>
  <si>
    <t>高知</t>
    <rPh sb="0" eb="2">
      <t>こうち</t>
    </rPh>
    <phoneticPr fontId="1" type="Hiragana"/>
  </si>
  <si>
    <t>宇都宮KC</t>
    <rPh sb="0" eb="3">
      <t>ウツノミヤ</t>
    </rPh>
    <phoneticPr fontId="1"/>
  </si>
  <si>
    <t>弥彦</t>
    <rPh sb="0" eb="2">
      <t>やひこ</t>
    </rPh>
    <phoneticPr fontId="1" type="Hiragana"/>
  </si>
  <si>
    <t>久留米</t>
    <rPh sb="0" eb="3">
      <t>くるめ</t>
    </rPh>
    <phoneticPr fontId="1" type="Hiragana"/>
  </si>
  <si>
    <r>
      <t>ＡＧＣ　松戸</t>
    </r>
    <r>
      <rPr>
        <b/>
        <sz val="11"/>
        <color rgb="FFFF0000"/>
        <rFont val="ＭＳ Ｐゴシック"/>
        <family val="3"/>
        <charset val="128"/>
      </rPr>
      <t>G</t>
    </r>
    <rPh sb="4" eb="6">
      <t>まつど</t>
    </rPh>
    <phoneticPr fontId="1" type="Hiragana"/>
  </si>
  <si>
    <t>奈良</t>
    <rPh sb="0" eb="2">
      <t>なら</t>
    </rPh>
    <phoneticPr fontId="1" type="Hiragana"/>
  </si>
  <si>
    <t>開催</t>
    <rPh sb="0" eb="2">
      <t>かいさい</t>
    </rPh>
    <phoneticPr fontId="1" type="Hiragana"/>
  </si>
  <si>
    <t>大垣</t>
    <rPh sb="0" eb="2">
      <t>おおがき</t>
    </rPh>
    <phoneticPr fontId="1" type="Hiragana"/>
  </si>
  <si>
    <r>
      <t xml:space="preserve">青森 </t>
    </r>
    <r>
      <rPr>
        <b/>
        <sz val="11"/>
        <color rgb="FFFF0000"/>
        <rFont val="ＭＳ Ｐゴシック"/>
        <family val="3"/>
        <charset val="128"/>
      </rPr>
      <t>G</t>
    </r>
    <rPh sb="0" eb="2">
      <t>あおもり</t>
    </rPh>
    <phoneticPr fontId="1" type="Hiragana"/>
  </si>
  <si>
    <t>大宮</t>
    <rPh sb="0" eb="2">
      <t>おおみや</t>
    </rPh>
    <phoneticPr fontId="1" type="Hiragana"/>
  </si>
  <si>
    <t>立川</t>
    <rPh sb="0" eb="2">
      <t>たちかわ</t>
    </rPh>
    <phoneticPr fontId="1" type="Hiragana"/>
  </si>
  <si>
    <t>豊橋</t>
    <rPh sb="0" eb="2">
      <t>とよはし</t>
    </rPh>
    <phoneticPr fontId="1" type="Hiragana"/>
  </si>
  <si>
    <t>部分発売</t>
    <rPh sb="0" eb="2">
      <t>ぶぶん</t>
    </rPh>
    <rPh sb="2" eb="4">
      <t>はつばい</t>
    </rPh>
    <phoneticPr fontId="1" type="Hiragana"/>
  </si>
  <si>
    <r>
      <t xml:space="preserve">四日市 </t>
    </r>
    <r>
      <rPr>
        <b/>
        <sz val="11"/>
        <color rgb="FFFF0000"/>
        <rFont val="ＭＳ Ｐゴシック"/>
        <family val="3"/>
        <charset val="128"/>
      </rPr>
      <t>G</t>
    </r>
    <rPh sb="0" eb="3">
      <t>よっかいち</t>
    </rPh>
    <phoneticPr fontId="1" type="Hiragana"/>
  </si>
  <si>
    <t>松阪</t>
    <rPh sb="0" eb="2">
      <t>まつさか</t>
    </rPh>
    <phoneticPr fontId="1" type="Hiragana"/>
  </si>
  <si>
    <t>共同通信GⅡ　富山</t>
    <rPh sb="0" eb="2">
      <t>きょうどう</t>
    </rPh>
    <rPh sb="2" eb="4">
      <t>つうしん</t>
    </rPh>
    <rPh sb="7" eb="9">
      <t>とやま</t>
    </rPh>
    <phoneticPr fontId="1" type="Hiragana"/>
  </si>
  <si>
    <r>
      <rPr>
        <sz val="9"/>
        <color theme="0"/>
        <rFont val="ＭＳ Ｐゴシック"/>
        <family val="3"/>
        <charset val="128"/>
      </rPr>
      <t>伊東温泉</t>
    </r>
    <r>
      <rPr>
        <sz val="9"/>
        <color rgb="FFFF0000"/>
        <rFont val="ＭＳ Ｐゴシック"/>
        <family val="3"/>
        <charset val="128"/>
      </rPr>
      <t>G</t>
    </r>
    <rPh sb="0" eb="4">
      <t>いとうおんせん</t>
    </rPh>
    <phoneticPr fontId="1" type="Hiragana"/>
  </si>
  <si>
    <t>(ミッドナイトを除く)</t>
    <rPh sb="8" eb="9">
      <t>のぞ</t>
    </rPh>
    <phoneticPr fontId="1" type="Hiragana"/>
  </si>
  <si>
    <t>６月</t>
    <rPh sb="1" eb="2">
      <t>がつ</t>
    </rPh>
    <phoneticPr fontId="1" type="Hiragana"/>
  </si>
  <si>
    <t>岸和田</t>
    <rPh sb="0" eb="3">
      <t>キシワダ</t>
    </rPh>
    <phoneticPr fontId="1"/>
  </si>
  <si>
    <t>令和８年度上半期</t>
    <rPh sb="0" eb="2">
      <t>レイワ</t>
    </rPh>
    <rPh sb="3" eb="5">
      <t>ネンド</t>
    </rPh>
    <rPh sb="5" eb="8">
      <t>カミハンキ</t>
    </rPh>
    <phoneticPr fontId="1"/>
  </si>
  <si>
    <t>平塚</t>
    <rPh sb="0" eb="2">
      <t>ヒラツカ</t>
    </rPh>
    <phoneticPr fontId="1"/>
  </si>
  <si>
    <r>
      <t xml:space="preserve">平塚　ルーキー </t>
    </r>
    <r>
      <rPr>
        <b/>
        <sz val="11"/>
        <color rgb="FFFF0000"/>
        <rFont val="ＭＳ Ｐゴシック"/>
        <family val="3"/>
        <charset val="128"/>
      </rPr>
      <t>G</t>
    </r>
    <rPh sb="0" eb="2">
      <t>ひらつか</t>
    </rPh>
    <phoneticPr fontId="1" type="Hiragana"/>
  </si>
  <si>
    <t>豊橋</t>
    <rPh sb="0" eb="2">
      <t>トヨハシ</t>
    </rPh>
    <phoneticPr fontId="1"/>
  </si>
  <si>
    <t>いわき平</t>
    <rPh sb="3" eb="4">
      <t>たい</t>
    </rPh>
    <phoneticPr fontId="1" type="Hiragana"/>
  </si>
  <si>
    <r>
      <t xml:space="preserve">玉野 </t>
    </r>
    <r>
      <rPr>
        <b/>
        <sz val="11"/>
        <color rgb="FFFF0000"/>
        <rFont val="ＭＳ Ｐゴシック"/>
        <family val="3"/>
        <charset val="128"/>
      </rPr>
      <t>G</t>
    </r>
    <rPh sb="0" eb="2">
      <t>たまの</t>
    </rPh>
    <phoneticPr fontId="1" type="Hiragana"/>
  </si>
  <si>
    <t>サテライト
笠岡</t>
  </si>
  <si>
    <r>
      <t>四日市　ワールドS</t>
    </r>
    <r>
      <rPr>
        <b/>
        <sz val="10"/>
        <color rgb="FFFF0000"/>
        <rFont val="ＭＳ Ｐゴシック"/>
        <family val="3"/>
        <charset val="128"/>
      </rPr>
      <t>G</t>
    </r>
    <rPh sb="0" eb="3">
      <t>よっかいち</t>
    </rPh>
    <phoneticPr fontId="1" type="Hiragana"/>
  </si>
  <si>
    <t>サテライト
津山</t>
    <rPh sb="6" eb="8">
      <t>ツヤマ</t>
    </rPh>
    <phoneticPr fontId="1"/>
  </si>
  <si>
    <t>サテライト
山陰</t>
    <rPh sb="6" eb="8">
      <t>サンイン</t>
    </rPh>
    <phoneticPr fontId="1"/>
  </si>
  <si>
    <t>熊本</t>
    <rPh sb="0" eb="2">
      <t>くまもと</t>
    </rPh>
    <phoneticPr fontId="1" type="Hiragana"/>
  </si>
  <si>
    <t>Ｎ</t>
  </si>
  <si>
    <t>計</t>
    <rPh sb="0" eb="1">
      <t>けい</t>
    </rPh>
    <phoneticPr fontId="1" type="Hiragana"/>
  </si>
  <si>
    <r>
      <t xml:space="preserve">青森　ワールドS </t>
    </r>
    <r>
      <rPr>
        <b/>
        <sz val="10"/>
        <color rgb="FFFF0000"/>
        <rFont val="ＭＳ Ｐゴシック"/>
        <family val="3"/>
        <charset val="128"/>
      </rPr>
      <t>G</t>
    </r>
    <rPh sb="0" eb="2">
      <t>あおもり</t>
    </rPh>
    <phoneticPr fontId="1" type="Hiragana"/>
  </si>
  <si>
    <t>日</t>
    <rPh sb="0" eb="1">
      <t>にち</t>
    </rPh>
    <phoneticPr fontId="1" type="Hiragana"/>
  </si>
  <si>
    <t>防府</t>
    <rPh sb="0" eb="2">
      <t>ほうふ</t>
    </rPh>
    <phoneticPr fontId="1" type="Hiragana"/>
  </si>
  <si>
    <r>
      <t>富山</t>
    </r>
    <r>
      <rPr>
        <b/>
        <sz val="9"/>
        <color rgb="FFFF0000"/>
        <rFont val="ＭＳ Ｐゴシック"/>
        <family val="3"/>
        <charset val="128"/>
      </rPr>
      <t>G</t>
    </r>
    <rPh sb="0" eb="2">
      <t>トヤマ</t>
    </rPh>
    <phoneticPr fontId="1"/>
  </si>
  <si>
    <t>高松</t>
    <rPh sb="0" eb="2">
      <t>たかまつ</t>
    </rPh>
    <phoneticPr fontId="1" type="Hiragana"/>
  </si>
  <si>
    <t>小松島</t>
    <rPh sb="0" eb="3">
      <t>こまつしま</t>
    </rPh>
    <phoneticPr fontId="1" type="Hiragana"/>
  </si>
  <si>
    <t>松山</t>
    <rPh sb="0" eb="2">
      <t>マツヤマ</t>
    </rPh>
    <phoneticPr fontId="1"/>
  </si>
  <si>
    <r>
      <t>平塚</t>
    </r>
    <r>
      <rPr>
        <sz val="10"/>
        <color rgb="FFFF0000"/>
        <rFont val="ＭＳ Ｐゴシック"/>
        <family val="3"/>
        <charset val="128"/>
      </rPr>
      <t xml:space="preserve"> G</t>
    </r>
  </si>
  <si>
    <t>14-1 記念</t>
    <rPh sb="5" eb="7">
      <t>きねん</t>
    </rPh>
    <phoneticPr fontId="1" type="Hiragana"/>
  </si>
  <si>
    <t>４月</t>
    <rPh sb="1" eb="2">
      <t>がつ</t>
    </rPh>
    <phoneticPr fontId="1" type="Hiragana"/>
  </si>
  <si>
    <t>５月</t>
    <rPh sb="1" eb="2">
      <t>がつ</t>
    </rPh>
    <phoneticPr fontId="1" type="Hiragana"/>
  </si>
  <si>
    <t>武雄記念</t>
    <rPh sb="0" eb="2">
      <t>たけお</t>
    </rPh>
    <rPh sb="2" eb="4">
      <t>きねん</t>
    </rPh>
    <phoneticPr fontId="1" type="Hiragana"/>
  </si>
  <si>
    <t>金</t>
    <rPh sb="0" eb="1">
      <t>キン</t>
    </rPh>
    <phoneticPr fontId="1"/>
  </si>
  <si>
    <t>取手記念</t>
    <rPh sb="0" eb="2">
      <t>とりで</t>
    </rPh>
    <rPh sb="2" eb="4">
      <t>きねん</t>
    </rPh>
    <phoneticPr fontId="1" type="Hiragana"/>
  </si>
  <si>
    <r>
      <t>高松宮記念杯GⅠ　岸和田</t>
    </r>
    <r>
      <rPr>
        <b/>
        <sz val="11"/>
        <color rgb="FFFF0000"/>
        <rFont val="ＭＳ Ｐゴシック"/>
        <family val="3"/>
        <charset val="128"/>
      </rPr>
      <t>G</t>
    </r>
    <rPh sb="0" eb="2">
      <t>たかまつ</t>
    </rPh>
    <rPh sb="2" eb="3">
      <t>みや</t>
    </rPh>
    <rPh sb="3" eb="6">
      <t>きねんはい</t>
    </rPh>
    <rPh sb="9" eb="12">
      <t>きしわだ</t>
    </rPh>
    <phoneticPr fontId="1" type="Hiragana"/>
  </si>
  <si>
    <t>７月</t>
    <rPh sb="1" eb="2">
      <t>がつ</t>
    </rPh>
    <phoneticPr fontId="1" type="Hiragana"/>
  </si>
  <si>
    <r>
      <t xml:space="preserve">防府 </t>
    </r>
    <r>
      <rPr>
        <b/>
        <sz val="11"/>
        <color rgb="FFFF0000"/>
        <rFont val="ＭＳ Ｐゴシック"/>
        <family val="3"/>
        <charset val="128"/>
      </rPr>
      <t>G</t>
    </r>
    <rPh sb="0" eb="2">
      <t>ほうふ</t>
    </rPh>
    <phoneticPr fontId="1" type="Hiragana"/>
  </si>
  <si>
    <t>1-1</t>
  </si>
  <si>
    <t>８月</t>
    <rPh sb="1" eb="2">
      <t>がつ</t>
    </rPh>
    <phoneticPr fontId="1" type="Hiragana"/>
  </si>
  <si>
    <t>いわき平</t>
    <rPh sb="3" eb="4">
      <t>タイ</t>
    </rPh>
    <phoneticPr fontId="1"/>
  </si>
  <si>
    <t>松戸記念N</t>
    <rPh sb="0" eb="2">
      <t>まつど</t>
    </rPh>
    <rPh sb="2" eb="4">
      <t>きねん</t>
    </rPh>
    <phoneticPr fontId="1" type="Hiragana"/>
  </si>
  <si>
    <t>９月</t>
    <rPh sb="1" eb="2">
      <t>がつ</t>
    </rPh>
    <phoneticPr fontId="1" type="Hiragana"/>
  </si>
  <si>
    <r>
      <t xml:space="preserve">平塚 </t>
    </r>
    <r>
      <rPr>
        <b/>
        <sz val="11"/>
        <color rgb="FFFF0000"/>
        <rFont val="ＭＳ Ｐゴシック"/>
        <family val="3"/>
        <charset val="128"/>
      </rPr>
      <t>G</t>
    </r>
    <rPh sb="0" eb="2">
      <t>ひらつか</t>
    </rPh>
    <phoneticPr fontId="1" type="Hiragana"/>
  </si>
  <si>
    <t>青森記念</t>
    <rPh sb="0" eb="2">
      <t>あおもり</t>
    </rPh>
    <rPh sb="2" eb="4">
      <t>きねん</t>
    </rPh>
    <phoneticPr fontId="1" type="Hiragana"/>
  </si>
  <si>
    <t>宇都宮記念</t>
    <rPh sb="0" eb="3">
      <t>ウツノミヤ</t>
    </rPh>
    <rPh sb="3" eb="5">
      <t>キネン</t>
    </rPh>
    <phoneticPr fontId="1"/>
  </si>
  <si>
    <t>6-1</t>
  </si>
  <si>
    <t>⑤高松FⅠ</t>
    <rPh sb="1" eb="3">
      <t>たかまつ</t>
    </rPh>
    <phoneticPr fontId="1" type="Hiragana"/>
  </si>
  <si>
    <t>西武園記念</t>
    <rPh sb="0" eb="3">
      <t>せいぶえん</t>
    </rPh>
    <rPh sb="3" eb="5">
      <t>きねん</t>
    </rPh>
    <phoneticPr fontId="1" type="Hiragana"/>
  </si>
  <si>
    <t>向日町in奈良</t>
    <rPh sb="0" eb="3">
      <t>むこうまち</t>
    </rPh>
    <rPh sb="5" eb="7">
      <t>なら</t>
    </rPh>
    <phoneticPr fontId="1" type="Hiragana"/>
  </si>
  <si>
    <t>G/FⅠ</t>
  </si>
  <si>
    <t>和歌山WJC</t>
    <rPh sb="0" eb="3">
      <t>わかやま</t>
    </rPh>
    <phoneticPr fontId="1" type="Hiragana"/>
  </si>
  <si>
    <r>
      <t>玉野</t>
    </r>
    <r>
      <rPr>
        <b/>
        <sz val="11"/>
        <color theme="1"/>
        <rFont val="ＭＳ Ｐゴシック"/>
        <family val="3"/>
        <charset val="128"/>
      </rPr>
      <t xml:space="preserve"> </t>
    </r>
    <r>
      <rPr>
        <b/>
        <sz val="11"/>
        <color rgb="FFFF0000"/>
        <rFont val="ＭＳ Ｐゴシック"/>
        <family val="3"/>
        <charset val="128"/>
      </rPr>
      <t>G</t>
    </r>
    <rPh sb="0" eb="2">
      <t>たまの</t>
    </rPh>
    <phoneticPr fontId="1" type="Hiragana"/>
  </si>
  <si>
    <t>名古屋アジア大会GⅢ</t>
    <rPh sb="0" eb="3">
      <t>なごや</t>
    </rPh>
    <rPh sb="6" eb="8">
      <t>たいかい</t>
    </rPh>
    <phoneticPr fontId="1" type="Hiragana"/>
  </si>
  <si>
    <t>合計</t>
    <rPh sb="0" eb="2">
      <t>ゴウケイ</t>
    </rPh>
    <phoneticPr fontId="1"/>
  </si>
  <si>
    <r>
      <t>立川</t>
    </r>
    <r>
      <rPr>
        <sz val="10"/>
        <color rgb="FFFF0000"/>
        <rFont val="ＭＳ Ｐゴシック"/>
        <family val="3"/>
        <charset val="128"/>
      </rPr>
      <t>G</t>
    </r>
    <rPh sb="0" eb="2">
      <t>たちかわ</t>
    </rPh>
    <phoneticPr fontId="1" type="Hiragana"/>
  </si>
  <si>
    <t>全体割合</t>
    <rPh sb="0" eb="2">
      <t>ゼンタイ</t>
    </rPh>
    <rPh sb="2" eb="4">
      <t>ワリアイ</t>
    </rPh>
    <phoneticPr fontId="1"/>
  </si>
  <si>
    <r>
      <t>川崎ワ</t>
    </r>
    <r>
      <rPr>
        <b/>
        <sz val="11"/>
        <color rgb="FFFF0000"/>
        <rFont val="ＭＳ Ｐゴシック"/>
        <family val="3"/>
        <charset val="128"/>
      </rPr>
      <t>G</t>
    </r>
    <rPh sb="0" eb="2">
      <t>カワサキ</t>
    </rPh>
    <phoneticPr fontId="1"/>
  </si>
  <si>
    <t>千葉</t>
    <rPh sb="0" eb="2">
      <t>ちば</t>
    </rPh>
    <phoneticPr fontId="1" type="Hiragana"/>
  </si>
  <si>
    <t>1-2</t>
  </si>
  <si>
    <r>
      <t>静岡</t>
    </r>
    <r>
      <rPr>
        <b/>
        <sz val="11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</si>
  <si>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t>2-1 MNK</t>
  </si>
  <si>
    <r>
      <t xml:space="preserve">立川　ワールドS </t>
    </r>
    <r>
      <rPr>
        <b/>
        <sz val="10"/>
        <color rgb="FFFF0000"/>
        <rFont val="ＭＳ Ｐゴシック"/>
        <family val="3"/>
        <charset val="128"/>
      </rPr>
      <t>G</t>
    </r>
    <rPh sb="0" eb="2">
      <t>たちかわ</t>
    </rPh>
    <phoneticPr fontId="1" type="Hiragana"/>
  </si>
  <si>
    <t>水</t>
    <rPh sb="0" eb="1">
      <t>すい</t>
    </rPh>
    <phoneticPr fontId="1" type="Hiragana"/>
  </si>
  <si>
    <r>
      <rPr>
        <sz val="10"/>
        <color theme="0"/>
        <rFont val="ＭＳ Ｐゴシック"/>
        <family val="3"/>
        <charset val="128"/>
      </rPr>
      <t>伊東温泉</t>
    </r>
    <r>
      <rPr>
        <b/>
        <sz val="10"/>
        <color rgb="FFFF0000"/>
        <rFont val="ＭＳ Ｐゴシック"/>
        <family val="3"/>
        <charset val="128"/>
      </rPr>
      <t>G</t>
    </r>
    <rPh sb="0" eb="4">
      <t>いとうおんせん</t>
    </rPh>
    <phoneticPr fontId="1" type="Hiragana"/>
  </si>
  <si>
    <t>伊東温泉記念</t>
    <rPh sb="0" eb="2">
      <t>いとう</t>
    </rPh>
    <rPh sb="2" eb="4">
      <t>おんせん</t>
    </rPh>
    <rPh sb="4" eb="6">
      <t>きねん</t>
    </rPh>
    <phoneticPr fontId="1" type="Hiragana"/>
  </si>
  <si>
    <t>函館</t>
    <rPh sb="0" eb="2">
      <t>ハコダテ</t>
    </rPh>
    <phoneticPr fontId="1"/>
  </si>
  <si>
    <t>平塚</t>
    <rPh sb="0" eb="2">
      <t>ひらつか</t>
    </rPh>
    <phoneticPr fontId="1" type="Hiragana"/>
  </si>
  <si>
    <t>豊橋JC</t>
    <rPh sb="0" eb="2">
      <t>とよはし</t>
    </rPh>
    <phoneticPr fontId="1" type="Hiragana"/>
  </si>
  <si>
    <t>岐阜WJC</t>
    <rPh sb="0" eb="2">
      <t>ぎふ</t>
    </rPh>
    <phoneticPr fontId="1" type="Hiragana"/>
  </si>
  <si>
    <r>
      <t>伊東</t>
    </r>
    <r>
      <rPr>
        <sz val="9"/>
        <color rgb="FFFF0000"/>
        <rFont val="ＭＳ Ｐゴシック"/>
        <family val="3"/>
        <charset val="128"/>
      </rPr>
      <t xml:space="preserve"> G</t>
    </r>
    <rPh sb="0" eb="2">
      <t>いとう</t>
    </rPh>
    <phoneticPr fontId="1" type="Hiragana"/>
  </si>
  <si>
    <t>福井in大垣</t>
    <rPh sb="0" eb="2">
      <t>ふくい</t>
    </rPh>
    <rPh sb="4" eb="6">
      <t>おおがき</t>
    </rPh>
    <phoneticPr fontId="1" type="Hiragana"/>
  </si>
  <si>
    <t>高松in玉野</t>
    <rPh sb="0" eb="2">
      <t>たかまつ</t>
    </rPh>
    <rPh sb="4" eb="6">
      <t>たまの</t>
    </rPh>
    <phoneticPr fontId="1" type="Hiragana"/>
  </si>
  <si>
    <t>②高松FⅠ</t>
    <rPh sb="1" eb="3">
      <t>たかまつ</t>
    </rPh>
    <phoneticPr fontId="1" type="Hiragana"/>
  </si>
  <si>
    <r>
      <t xml:space="preserve">青森　ワールドS </t>
    </r>
    <r>
      <rPr>
        <b/>
        <sz val="11"/>
        <color rgb="FFFF0000"/>
        <rFont val="ＭＳ Ｐゴシック"/>
        <family val="3"/>
        <charset val="128"/>
      </rPr>
      <t>G</t>
    </r>
    <rPh sb="0" eb="2">
      <t>あおもり</t>
    </rPh>
    <phoneticPr fontId="1" type="Hiragana"/>
  </si>
  <si>
    <t>日本選手権GⅠ　平塚</t>
    <rPh sb="0" eb="2">
      <t>にほん</t>
    </rPh>
    <rPh sb="2" eb="5">
      <t>せんしゅけん</t>
    </rPh>
    <rPh sb="8" eb="10">
      <t>ひらつか</t>
    </rPh>
    <phoneticPr fontId="1" type="Hiragana"/>
  </si>
  <si>
    <r>
      <t xml:space="preserve">高松宮記念杯GⅠ　岸和田 </t>
    </r>
    <r>
      <rPr>
        <b/>
        <sz val="11"/>
        <color rgb="FFFF0000"/>
        <rFont val="ＭＳ Ｐゴシック"/>
        <family val="3"/>
        <charset val="128"/>
      </rPr>
      <t>G</t>
    </r>
    <rPh sb="0" eb="2">
      <t>たかまつ</t>
    </rPh>
    <rPh sb="2" eb="3">
      <t>みや</t>
    </rPh>
    <rPh sb="3" eb="6">
      <t>きねんはい</t>
    </rPh>
    <rPh sb="9" eb="12">
      <t>きしわだ</t>
    </rPh>
    <phoneticPr fontId="1" type="Hiragana"/>
  </si>
  <si>
    <t>函館記念N</t>
    <rPh sb="0" eb="2">
      <t>はこだて</t>
    </rPh>
    <rPh sb="2" eb="4">
      <t>きねん</t>
    </rPh>
    <phoneticPr fontId="1" type="Hiragana"/>
  </si>
  <si>
    <r>
      <t>松山　ルーキー</t>
    </r>
    <r>
      <rPr>
        <b/>
        <sz val="11"/>
        <color rgb="FFFF0000"/>
        <rFont val="ＭＳ Ｐゴシック"/>
        <family val="3"/>
        <charset val="128"/>
      </rPr>
      <t>G</t>
    </r>
    <rPh sb="0" eb="2">
      <t>まつやま</t>
    </rPh>
    <phoneticPr fontId="1" type="Hiragana"/>
  </si>
  <si>
    <t>松戸</t>
    <rPh sb="0" eb="2">
      <t>マツド</t>
    </rPh>
    <phoneticPr fontId="1"/>
  </si>
  <si>
    <t>火</t>
    <rPh sb="0" eb="1">
      <t>ひ</t>
    </rPh>
    <phoneticPr fontId="1" type="Hiragana"/>
  </si>
  <si>
    <t>3-1</t>
  </si>
  <si>
    <r>
      <t xml:space="preserve">富山 </t>
    </r>
    <r>
      <rPr>
        <b/>
        <sz val="11"/>
        <color rgb="FFFF0000"/>
        <rFont val="ＭＳ Ｐゴシック"/>
        <family val="3"/>
        <charset val="128"/>
      </rPr>
      <t>G</t>
    </r>
    <rPh sb="0" eb="2">
      <t>とやま</t>
    </rPh>
    <phoneticPr fontId="1" type="Hiragana"/>
  </si>
  <si>
    <t>岐阜アジア大会GⅢ</t>
    <rPh sb="0" eb="2">
      <t>ぎふ</t>
    </rPh>
    <rPh sb="5" eb="7">
      <t>たいかい</t>
    </rPh>
    <phoneticPr fontId="1" type="Hiragana"/>
  </si>
  <si>
    <t>高知</t>
    <rPh sb="0" eb="2">
      <t>コウチ</t>
    </rPh>
    <phoneticPr fontId="1"/>
  </si>
  <si>
    <t>金</t>
    <rPh sb="0" eb="1">
      <t>きん</t>
    </rPh>
    <phoneticPr fontId="1" type="Hiragana"/>
  </si>
  <si>
    <t>4-1</t>
  </si>
  <si>
    <t>SNF　GⅡN　高知</t>
    <rPh sb="8" eb="10">
      <t>こうち</t>
    </rPh>
    <phoneticPr fontId="1" type="Hiragana"/>
  </si>
  <si>
    <r>
      <rPr>
        <sz val="10"/>
        <color theme="0"/>
        <rFont val="ＭＳ Ｐゴシック"/>
        <family val="3"/>
        <charset val="128"/>
      </rPr>
      <t>静岡</t>
    </r>
    <r>
      <rPr>
        <b/>
        <sz val="10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</si>
  <si>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t>豊橋記念</t>
    <rPh sb="0" eb="2">
      <t>とよはし</t>
    </rPh>
    <rPh sb="2" eb="4">
      <t>きねん</t>
    </rPh>
    <phoneticPr fontId="1" type="Hiragana"/>
  </si>
  <si>
    <r>
      <t>ＡＳＧ　佐世保</t>
    </r>
    <r>
      <rPr>
        <b/>
        <sz val="11"/>
        <color rgb="FFFF0000"/>
        <rFont val="ＭＳ Ｐゴシック"/>
        <family val="3"/>
        <charset val="128"/>
      </rPr>
      <t>G</t>
    </r>
    <rPh sb="4" eb="7">
      <t>させぼ</t>
    </rPh>
    <phoneticPr fontId="1" type="Hiragana"/>
  </si>
  <si>
    <t>4-2</t>
  </si>
  <si>
    <t>佐世保</t>
    <rPh sb="0" eb="3">
      <t>サセボ</t>
    </rPh>
    <phoneticPr fontId="1"/>
  </si>
  <si>
    <r>
      <t xml:space="preserve">別府 </t>
    </r>
    <r>
      <rPr>
        <b/>
        <sz val="11"/>
        <color rgb="FFFF0000"/>
        <rFont val="ＭＳ Ｐゴシック"/>
        <family val="3"/>
        <charset val="128"/>
      </rPr>
      <t>G</t>
    </r>
    <rPh sb="0" eb="2">
      <t>べっぷ</t>
    </rPh>
    <phoneticPr fontId="1" type="Hiragana"/>
  </si>
  <si>
    <t>月</t>
    <rPh sb="0" eb="1">
      <t>げつ</t>
    </rPh>
    <phoneticPr fontId="1" type="Hiragana"/>
  </si>
  <si>
    <t>⑦高松MNK</t>
    <rPh sb="1" eb="3">
      <t>タカマツ</t>
    </rPh>
    <phoneticPr fontId="1"/>
  </si>
  <si>
    <t>小田原記念</t>
    <rPh sb="0" eb="3">
      <t>おだわら</t>
    </rPh>
    <rPh sb="3" eb="5">
      <t>きねん</t>
    </rPh>
    <phoneticPr fontId="1" type="Hiragana"/>
  </si>
  <si>
    <t>オールスターGⅠ　松山</t>
    <rPh sb="9" eb="11">
      <t>まつやま</t>
    </rPh>
    <phoneticPr fontId="1" type="Hiragana"/>
  </si>
  <si>
    <t>前橋記念</t>
    <rPh sb="0" eb="2">
      <t>まえばし</t>
    </rPh>
    <rPh sb="2" eb="4">
      <t>きねん</t>
    </rPh>
    <phoneticPr fontId="1" type="Hiragana"/>
  </si>
  <si>
    <t>弥彦</t>
    <rPh sb="0" eb="2">
      <t>ヤヒコ</t>
    </rPh>
    <phoneticPr fontId="1"/>
  </si>
  <si>
    <t>システム改修【非開催日】</t>
    <rPh sb="4" eb="6">
      <t>かいしゅう</t>
    </rPh>
    <rPh sb="7" eb="8">
      <t>ひ</t>
    </rPh>
    <rPh sb="8" eb="11">
      <t>かいさいび</t>
    </rPh>
    <phoneticPr fontId="1" type="Hiragana"/>
  </si>
  <si>
    <t>2-2 MNK</t>
  </si>
  <si>
    <r>
      <t xml:space="preserve">立川 </t>
    </r>
    <r>
      <rPr>
        <b/>
        <sz val="11"/>
        <color rgb="FFFF0000"/>
        <rFont val="ＭＳ Ｐゴシック"/>
        <family val="3"/>
        <charset val="128"/>
      </rPr>
      <t>G</t>
    </r>
    <rPh sb="0" eb="2">
      <t>たちかわ</t>
    </rPh>
    <phoneticPr fontId="1" type="Hiragana"/>
  </si>
  <si>
    <t>岐阜記念N</t>
    <rPh sb="0" eb="2">
      <t>ぎふ</t>
    </rPh>
    <rPh sb="2" eb="4">
      <t>きねん</t>
    </rPh>
    <phoneticPr fontId="1" type="Hiragana"/>
  </si>
  <si>
    <t>宇都宮KC</t>
    <rPh sb="0" eb="3">
      <t>うつのみや</t>
    </rPh>
    <phoneticPr fontId="1" type="Hiragana"/>
  </si>
  <si>
    <r>
      <t xml:space="preserve">久留米 </t>
    </r>
    <r>
      <rPr>
        <b/>
        <sz val="11"/>
        <color rgb="FFFF0000"/>
        <rFont val="ＭＳ Ｐゴシック"/>
        <family val="3"/>
        <charset val="128"/>
      </rPr>
      <t>G</t>
    </r>
    <rPh sb="0" eb="3">
      <t>くるめ</t>
    </rPh>
    <phoneticPr fontId="1" type="Hiragana"/>
  </si>
  <si>
    <t>小松島WJC</t>
    <rPh sb="0" eb="3">
      <t>こまつしま</t>
    </rPh>
    <phoneticPr fontId="1" type="Hiragana"/>
  </si>
  <si>
    <r>
      <t xml:space="preserve">非開催日
</t>
    </r>
    <r>
      <rPr>
        <b/>
        <sz val="8"/>
        <color theme="0"/>
        <rFont val="ＭＳ Ｐゴシック"/>
        <family val="3"/>
        <charset val="128"/>
      </rPr>
      <t>ナイターのみ</t>
    </r>
    <rPh sb="0" eb="1">
      <t>ひ</t>
    </rPh>
    <rPh sb="1" eb="4">
      <t>かいさいび</t>
    </rPh>
    <phoneticPr fontId="1" type="Hiragana"/>
  </si>
  <si>
    <r>
      <t xml:space="preserve">函館 </t>
    </r>
    <r>
      <rPr>
        <b/>
        <sz val="11"/>
        <color rgb="FFFF0000"/>
        <rFont val="ＭＳ Ｐゴシック"/>
        <family val="3"/>
        <charset val="128"/>
      </rPr>
      <t>G</t>
    </r>
    <rPh sb="0" eb="2">
      <t>はこだて</t>
    </rPh>
    <phoneticPr fontId="1" type="Hiragana"/>
  </si>
  <si>
    <r>
      <t xml:space="preserve">大宮 </t>
    </r>
    <r>
      <rPr>
        <b/>
        <sz val="11"/>
        <color rgb="FFFF0000"/>
        <rFont val="ＭＳ Ｐゴシック"/>
        <family val="3"/>
        <charset val="128"/>
      </rPr>
      <t>G</t>
    </r>
    <rPh sb="0" eb="2">
      <t>おおみや</t>
    </rPh>
    <phoneticPr fontId="1" type="Hiragana"/>
  </si>
  <si>
    <r>
      <t xml:space="preserve">伊東温泉 </t>
    </r>
    <r>
      <rPr>
        <b/>
        <sz val="11"/>
        <color rgb="FFFF0000"/>
        <rFont val="ＭＳ Ｐゴシック"/>
        <family val="3"/>
        <charset val="128"/>
      </rPr>
      <t>G</t>
    </r>
    <rPh sb="0" eb="2">
      <t>いとう</t>
    </rPh>
    <rPh sb="2" eb="4">
      <t>おんせん</t>
    </rPh>
    <phoneticPr fontId="1" type="Hiragana"/>
  </si>
  <si>
    <r>
      <t xml:space="preserve">豊橋 </t>
    </r>
    <r>
      <rPr>
        <b/>
        <sz val="11"/>
        <color rgb="FFFF0000"/>
        <rFont val="ＭＳ Ｐゴシック"/>
        <family val="3"/>
        <charset val="128"/>
      </rPr>
      <t>G</t>
    </r>
    <rPh sb="0" eb="2">
      <t>とよはし</t>
    </rPh>
    <phoneticPr fontId="1" type="Hiragana"/>
  </si>
  <si>
    <r>
      <t xml:space="preserve">大垣 </t>
    </r>
    <r>
      <rPr>
        <b/>
        <sz val="11"/>
        <color rgb="FFFF0000"/>
        <rFont val="ＭＳ Ｐゴシック"/>
        <family val="3"/>
        <charset val="128"/>
      </rPr>
      <t>G</t>
    </r>
    <rPh sb="0" eb="2">
      <t>おおがき</t>
    </rPh>
    <phoneticPr fontId="1" type="Hiragana"/>
  </si>
  <si>
    <r>
      <t xml:space="preserve">函館 </t>
    </r>
    <r>
      <rPr>
        <b/>
        <sz val="11"/>
        <color rgb="FFFF0000"/>
        <rFont val="ＭＳ Ｐゴシック"/>
        <family val="3"/>
        <charset val="128"/>
      </rPr>
      <t>G</t>
    </r>
    <rPh sb="0" eb="2">
      <t>ハコダテ</t>
    </rPh>
    <phoneticPr fontId="1"/>
  </si>
  <si>
    <t>いわき平</t>
    <rPh sb="3" eb="4">
      <t>タイラ</t>
    </rPh>
    <phoneticPr fontId="1"/>
  </si>
  <si>
    <r>
      <t xml:space="preserve">前橋 </t>
    </r>
    <r>
      <rPr>
        <b/>
        <sz val="11"/>
        <color rgb="FFFF0000"/>
        <rFont val="ＭＳ Ｐゴシック"/>
        <family val="3"/>
        <charset val="128"/>
      </rPr>
      <t>G</t>
    </r>
    <rPh sb="0" eb="2">
      <t>まえばし</t>
    </rPh>
    <phoneticPr fontId="1" type="Hiragana"/>
  </si>
  <si>
    <r>
      <t>宇都宮　ルーキー</t>
    </r>
    <r>
      <rPr>
        <b/>
        <sz val="10"/>
        <color rgb="FFFF0000"/>
        <rFont val="ＭＳ Ｐゴシック"/>
        <family val="3"/>
        <charset val="128"/>
      </rPr>
      <t>G</t>
    </r>
    <rPh sb="0" eb="3">
      <t>うつのみや</t>
    </rPh>
    <phoneticPr fontId="1" type="Hiragana"/>
  </si>
  <si>
    <r>
      <t>防府</t>
    </r>
    <r>
      <rPr>
        <b/>
        <sz val="11"/>
        <color rgb="FFFF0000"/>
        <rFont val="ＭＳ Ｐゴシック"/>
        <family val="3"/>
        <charset val="128"/>
      </rPr>
      <t>G</t>
    </r>
    <rPh sb="0" eb="2">
      <t>ほうふ</t>
    </rPh>
    <phoneticPr fontId="1" type="Hiragana"/>
  </si>
  <si>
    <r>
      <t>取手KC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とりで</t>
    </rPh>
    <phoneticPr fontId="1" type="Hiragana"/>
  </si>
  <si>
    <t>小松島</t>
    <rPh sb="0" eb="3">
      <t>コマツシマ</t>
    </rPh>
    <phoneticPr fontId="1"/>
  </si>
  <si>
    <r>
      <t xml:space="preserve">京王閣 </t>
    </r>
    <r>
      <rPr>
        <b/>
        <sz val="11"/>
        <color rgb="FFFF0000"/>
        <rFont val="ＭＳ Ｐゴシック"/>
        <family val="3"/>
        <charset val="128"/>
      </rPr>
      <t>G</t>
    </r>
    <rPh sb="0" eb="2">
      <t>けいおう</t>
    </rPh>
    <rPh sb="2" eb="3">
      <t>かく</t>
    </rPh>
    <phoneticPr fontId="1" type="Hiragana"/>
  </si>
  <si>
    <r>
      <t xml:space="preserve">静岡 </t>
    </r>
    <r>
      <rPr>
        <b/>
        <sz val="11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</si>
  <si>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r>
      <t xml:space="preserve">松阪 </t>
    </r>
    <r>
      <rPr>
        <b/>
        <sz val="11"/>
        <color rgb="FFFF0000"/>
        <rFont val="ＭＳ Ｐゴシック"/>
        <family val="3"/>
        <charset val="128"/>
      </rPr>
      <t>G</t>
    </r>
    <rPh sb="0" eb="2">
      <t>まつさか</t>
    </rPh>
    <phoneticPr fontId="1" type="Hiragana"/>
  </si>
  <si>
    <r>
      <t>富山</t>
    </r>
    <r>
      <rPr>
        <b/>
        <sz val="11"/>
        <color rgb="FFFF0000"/>
        <rFont val="ＭＳ Ｐゴシック"/>
        <family val="3"/>
        <charset val="128"/>
      </rPr>
      <t>G</t>
    </r>
    <rPh sb="0" eb="2">
      <t>トヤマ</t>
    </rPh>
    <phoneticPr fontId="1"/>
  </si>
  <si>
    <r>
      <t xml:space="preserve">高松in玉野 </t>
    </r>
    <r>
      <rPr>
        <b/>
        <sz val="11"/>
        <color rgb="FFFF0000"/>
        <rFont val="ＭＳ Ｐゴシック"/>
        <family val="3"/>
        <charset val="128"/>
      </rPr>
      <t>G</t>
    </r>
    <rPh sb="0" eb="2">
      <t>たかまつ</t>
    </rPh>
    <rPh sb="4" eb="6">
      <t>たまの</t>
    </rPh>
    <phoneticPr fontId="1" type="Hiragana"/>
  </si>
  <si>
    <r>
      <t xml:space="preserve">岐阜　ワールドS </t>
    </r>
    <r>
      <rPr>
        <b/>
        <sz val="11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</si>
  <si>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r>
      <t xml:space="preserve">岸和田 </t>
    </r>
    <r>
      <rPr>
        <b/>
        <sz val="11"/>
        <color rgb="FFFF0000"/>
        <rFont val="ＭＳ Ｐゴシック"/>
        <family val="3"/>
        <charset val="128"/>
      </rPr>
      <t>G</t>
    </r>
    <rPh sb="0" eb="3">
      <t>きしわだ</t>
    </rPh>
    <phoneticPr fontId="1" type="Hiragana"/>
  </si>
  <si>
    <r>
      <t>広島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ひろしま</t>
    </rPh>
    <phoneticPr fontId="1" type="Hiragana"/>
  </si>
  <si>
    <r>
      <t>熊本　ルーキー</t>
    </r>
    <r>
      <rPr>
        <b/>
        <sz val="11"/>
        <color rgb="FFFF0000"/>
        <rFont val="ＭＳ Ｐゴシック"/>
        <family val="3"/>
        <charset val="128"/>
      </rPr>
      <t>G</t>
    </r>
    <rPh sb="0" eb="2">
      <t>くまもと</t>
    </rPh>
    <phoneticPr fontId="1" type="Hiragana"/>
  </si>
  <si>
    <r>
      <t>伊東　ワールドS</t>
    </r>
    <r>
      <rPr>
        <b/>
        <sz val="10"/>
        <color rgb="FFFF0000"/>
        <rFont val="ＭＳ Ｐゴシック"/>
        <family val="3"/>
        <charset val="128"/>
      </rPr>
      <t xml:space="preserve"> G</t>
    </r>
    <rPh sb="0" eb="2">
      <t>いとう</t>
    </rPh>
    <phoneticPr fontId="1" type="Hiragana"/>
  </si>
  <si>
    <r>
      <t>函館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はこだて</t>
    </rPh>
    <phoneticPr fontId="1" type="Hiragana"/>
  </si>
  <si>
    <r>
      <t xml:space="preserve">弥彦 </t>
    </r>
    <r>
      <rPr>
        <b/>
        <sz val="11"/>
        <color rgb="FFFF0000"/>
        <rFont val="ＭＳ Ｐゴシック"/>
        <family val="3"/>
        <charset val="128"/>
      </rPr>
      <t>G</t>
    </r>
    <rPh sb="0" eb="2">
      <t>やひこ</t>
    </rPh>
    <phoneticPr fontId="1" type="Hiragana"/>
  </si>
  <si>
    <r>
      <t>伊東</t>
    </r>
    <r>
      <rPr>
        <b/>
        <sz val="11"/>
        <color rgb="FFFF0000"/>
        <rFont val="ＭＳ Ｐゴシック"/>
        <family val="3"/>
        <charset val="128"/>
      </rPr>
      <t>Ｇ</t>
    </r>
    <rPh sb="0" eb="2">
      <t>イトウ</t>
    </rPh>
    <phoneticPr fontId="1"/>
  </si>
  <si>
    <r>
      <t xml:space="preserve">京王閣 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けいおう</t>
    </rPh>
    <rPh sb="2" eb="3">
      <t>かく</t>
    </rPh>
    <phoneticPr fontId="1" type="Hiragana"/>
  </si>
  <si>
    <r>
      <t>向日町in奈良</t>
    </r>
    <r>
      <rPr>
        <b/>
        <sz val="11"/>
        <color rgb="FFFF0000"/>
        <rFont val="ＭＳ Ｐゴシック"/>
        <family val="3"/>
        <charset val="128"/>
      </rPr>
      <t>G</t>
    </r>
    <rPh sb="0" eb="3">
      <t>むこうまち</t>
    </rPh>
    <rPh sb="5" eb="7">
      <t>なら</t>
    </rPh>
    <phoneticPr fontId="1" type="Hiragana"/>
  </si>
  <si>
    <r>
      <t xml:space="preserve">和歌山 </t>
    </r>
    <r>
      <rPr>
        <b/>
        <sz val="11"/>
        <color rgb="FFFF0000"/>
        <rFont val="ＭＳ Ｐゴシック"/>
        <family val="3"/>
        <charset val="128"/>
      </rPr>
      <t>G</t>
    </r>
    <rPh sb="0" eb="3">
      <t>わかやま</t>
    </rPh>
    <phoneticPr fontId="1" type="Hiragana"/>
  </si>
  <si>
    <r>
      <t xml:space="preserve">松戸 </t>
    </r>
    <r>
      <rPr>
        <b/>
        <sz val="11"/>
        <color rgb="FFFF0000"/>
        <rFont val="ＭＳ Ｐゴシック"/>
        <family val="3"/>
        <charset val="128"/>
      </rPr>
      <t>G</t>
    </r>
    <rPh sb="0" eb="2">
      <t>まつど</t>
    </rPh>
    <phoneticPr fontId="1" type="Hiragana"/>
  </si>
  <si>
    <r>
      <t xml:space="preserve">玉野GⅢN  </t>
    </r>
    <r>
      <rPr>
        <b/>
        <sz val="11"/>
        <color rgb="FFFF0000"/>
        <rFont val="ＭＳ Ｐゴシック"/>
        <family val="3"/>
        <charset val="128"/>
      </rPr>
      <t>G</t>
    </r>
    <rPh sb="0" eb="2">
      <t>たまの</t>
    </rPh>
    <phoneticPr fontId="1" type="Hiragana"/>
  </si>
  <si>
    <r>
      <t xml:space="preserve">前橋GⅢN </t>
    </r>
    <r>
      <rPr>
        <b/>
        <sz val="11"/>
        <color rgb="FFFF0000"/>
        <rFont val="ＭＳ Ｐゴシック"/>
        <family val="3"/>
        <charset val="128"/>
      </rPr>
      <t>Ｇ</t>
    </r>
    <rPh sb="0" eb="2">
      <t>まえばし</t>
    </rPh>
    <phoneticPr fontId="1" type="Hiragana"/>
  </si>
  <si>
    <r>
      <t xml:space="preserve">西武園 </t>
    </r>
    <r>
      <rPr>
        <b/>
        <sz val="11"/>
        <color rgb="FFFF0000"/>
        <rFont val="ＭＳ Ｐゴシック"/>
        <family val="3"/>
        <charset val="128"/>
      </rPr>
      <t>G</t>
    </r>
    <rPh sb="0" eb="3">
      <t>せいぶえん</t>
    </rPh>
    <phoneticPr fontId="1" type="Hiragana"/>
  </si>
  <si>
    <r>
      <t>奈良</t>
    </r>
    <r>
      <rPr>
        <b/>
        <sz val="11"/>
        <color rgb="FFFF0000"/>
        <rFont val="ＭＳ Ｐゴシック"/>
        <family val="3"/>
        <charset val="128"/>
      </rPr>
      <t>Ｇ</t>
    </r>
    <rPh sb="0" eb="2">
      <t>ナラ</t>
    </rPh>
    <phoneticPr fontId="1"/>
  </si>
  <si>
    <r>
      <t xml:space="preserve">立川　ワールドS </t>
    </r>
    <r>
      <rPr>
        <b/>
        <sz val="11"/>
        <color rgb="FFFF0000"/>
        <rFont val="ＭＳ Ｐゴシック"/>
        <family val="3"/>
        <charset val="128"/>
      </rPr>
      <t>G</t>
    </r>
    <rPh sb="0" eb="2">
      <t>たちかわ</t>
    </rPh>
    <phoneticPr fontId="1" type="Hiragana"/>
  </si>
  <si>
    <r>
      <t>平塚</t>
    </r>
    <r>
      <rPr>
        <b/>
        <sz val="11"/>
        <color rgb="FFFF0000"/>
        <rFont val="ＭＳ Ｐゴシック"/>
        <family val="3"/>
        <charset val="128"/>
      </rPr>
      <t>G</t>
    </r>
    <rPh sb="0" eb="2">
      <t>ヒラツカ</t>
    </rPh>
    <phoneticPr fontId="1"/>
  </si>
  <si>
    <r>
      <t xml:space="preserve">静岡JC </t>
    </r>
    <r>
      <rPr>
        <b/>
        <sz val="11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</si>
  <si>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r>
      <t>豊橋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2">
      <t>とよはし</t>
    </rPh>
    <phoneticPr fontId="1" type="Hiragana"/>
  </si>
  <si>
    <r>
      <t xml:space="preserve">岐阜 </t>
    </r>
    <r>
      <rPr>
        <b/>
        <sz val="11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</si>
  <si>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r>
      <t>岐阜</t>
    </r>
    <r>
      <rPr>
        <b/>
        <sz val="11"/>
        <color rgb="FFFF0000"/>
        <rFont val="ＭＳ Ｐゴシック"/>
        <family val="3"/>
        <charset val="128"/>
      </rPr>
      <t>G</t>
    </r>
    <rPh sb="0" eb="2">
      <t>ギフ</t>
    </rPh>
    <phoneticPr fontId="1"/>
  </si>
  <si>
    <r>
      <t>和歌山</t>
    </r>
    <r>
      <rPr>
        <b/>
        <sz val="11"/>
        <color rgb="FFFF0000"/>
        <rFont val="ＭＳ Ｐゴシック"/>
        <family val="3"/>
        <charset val="128"/>
      </rPr>
      <t xml:space="preserve"> G</t>
    </r>
    <rPh sb="0" eb="3">
      <t>わかやま</t>
    </rPh>
    <phoneticPr fontId="1" type="Hiragana"/>
  </si>
  <si>
    <r>
      <t xml:space="preserve">岸和田　ワールドS </t>
    </r>
    <r>
      <rPr>
        <b/>
        <sz val="10"/>
        <color rgb="FFFF0000"/>
        <rFont val="ＭＳ Ｐゴシック"/>
        <family val="3"/>
        <charset val="128"/>
      </rPr>
      <t>G</t>
    </r>
    <rPh sb="0" eb="3">
      <t>きしわだ</t>
    </rPh>
    <phoneticPr fontId="1" type="Hiragana"/>
  </si>
  <si>
    <r>
      <t xml:space="preserve">松山 </t>
    </r>
    <r>
      <rPr>
        <b/>
        <sz val="11"/>
        <color rgb="FFFF0000"/>
        <rFont val="ＭＳ Ｐゴシック"/>
        <family val="3"/>
        <charset val="128"/>
      </rPr>
      <t>G</t>
    </r>
    <rPh sb="0" eb="2">
      <t>まつやま</t>
    </rPh>
    <phoneticPr fontId="1" type="Hiragana"/>
  </si>
  <si>
    <r>
      <t xml:space="preserve">伊東 ﾜｰﾙﾄﾞS </t>
    </r>
    <r>
      <rPr>
        <b/>
        <sz val="11"/>
        <color rgb="FFFF0000"/>
        <rFont val="ＭＳ Ｐゴシック"/>
        <family val="3"/>
        <charset val="128"/>
      </rPr>
      <t>Ｇ</t>
    </r>
    <rPh sb="0" eb="2">
      <t>イトウ</t>
    </rPh>
    <phoneticPr fontId="1"/>
  </si>
  <si>
    <r>
      <t xml:space="preserve">小倉 </t>
    </r>
    <r>
      <rPr>
        <b/>
        <sz val="11"/>
        <color rgb="FFFF0000"/>
        <rFont val="ＭＳ Ｐゴシック"/>
        <family val="3"/>
        <charset val="128"/>
      </rPr>
      <t>G</t>
    </r>
    <rPh sb="0" eb="2">
      <t>こくら</t>
    </rPh>
    <phoneticPr fontId="1" type="Hiragana"/>
  </si>
  <si>
    <r>
      <t xml:space="preserve">佐世保 </t>
    </r>
    <r>
      <rPr>
        <b/>
        <sz val="11"/>
        <color rgb="FFFF0000"/>
        <rFont val="ＭＳ Ｐゴシック"/>
        <family val="3"/>
        <charset val="128"/>
      </rPr>
      <t>G</t>
    </r>
    <rPh sb="0" eb="3">
      <t>させぼ</t>
    </rPh>
    <phoneticPr fontId="1" type="Hiragana"/>
  </si>
  <si>
    <r>
      <t xml:space="preserve">いわき平 </t>
    </r>
    <r>
      <rPr>
        <b/>
        <sz val="11"/>
        <color rgb="FFFF0000"/>
        <rFont val="ＭＳ Ｐゴシック"/>
        <family val="3"/>
        <charset val="128"/>
      </rPr>
      <t>G</t>
    </r>
    <rPh sb="3" eb="4">
      <t>たい</t>
    </rPh>
    <phoneticPr fontId="1" type="Hiragana"/>
  </si>
  <si>
    <r>
      <t>川崎ワールドS</t>
    </r>
    <r>
      <rPr>
        <b/>
        <sz val="11"/>
        <color rgb="FFFF0000"/>
        <rFont val="ＭＳ Ｐゴシック"/>
        <family val="3"/>
        <charset val="128"/>
      </rPr>
      <t>G</t>
    </r>
    <rPh sb="0" eb="2">
      <t>カワサキ</t>
    </rPh>
    <phoneticPr fontId="1"/>
  </si>
  <si>
    <r>
      <t xml:space="preserve">向日町in奈良 </t>
    </r>
    <r>
      <rPr>
        <b/>
        <sz val="11"/>
        <color rgb="FFFF0000"/>
        <rFont val="ＭＳ Ｐゴシック"/>
        <family val="3"/>
        <charset val="128"/>
      </rPr>
      <t>G</t>
    </r>
    <rPh sb="0" eb="3">
      <t>むこうまち</t>
    </rPh>
    <rPh sb="5" eb="7">
      <t>なら</t>
    </rPh>
    <phoneticPr fontId="1" type="Hiragana"/>
  </si>
  <si>
    <r>
      <t xml:space="preserve">和歌山ワールドサイクリストGⅢ </t>
    </r>
    <r>
      <rPr>
        <b/>
        <sz val="11"/>
        <color rgb="FFFF0000"/>
        <rFont val="ＭＳ Ｐゴシック"/>
        <family val="3"/>
        <charset val="128"/>
      </rPr>
      <t>G</t>
    </r>
    <rPh sb="0" eb="3">
      <t>わかやま</t>
    </rPh>
    <phoneticPr fontId="1" type="Hiragana"/>
  </si>
  <si>
    <r>
      <t>西武園</t>
    </r>
    <r>
      <rPr>
        <b/>
        <sz val="11"/>
        <color rgb="FFFF0000"/>
        <rFont val="ＭＳ Ｐゴシック"/>
        <family val="3"/>
        <charset val="128"/>
      </rPr>
      <t>G</t>
    </r>
    <rPh sb="0" eb="3">
      <t>せいぶえん</t>
    </rPh>
    <phoneticPr fontId="1" type="Hiragana"/>
  </si>
  <si>
    <r>
      <t>西武園</t>
    </r>
    <r>
      <rPr>
        <sz val="11"/>
        <color rgb="FFFF0000"/>
        <rFont val="ＭＳ Ｐゴシック"/>
        <family val="3"/>
        <charset val="128"/>
      </rPr>
      <t>G</t>
    </r>
    <rPh sb="0" eb="3">
      <t>セイブエン</t>
    </rPh>
    <phoneticPr fontId="1"/>
  </si>
  <si>
    <r>
      <rPr>
        <sz val="8"/>
        <color theme="1"/>
        <rFont val="ＭＳ Ｐゴシック"/>
        <family val="3"/>
        <charset val="128"/>
      </rPr>
      <t>奈良</t>
    </r>
    <r>
      <rPr>
        <sz val="8"/>
        <color rgb="FFFF0000"/>
        <rFont val="ＭＳ Ｐゴシック"/>
        <family val="3"/>
        <charset val="128"/>
      </rPr>
      <t>G</t>
    </r>
    <rPh sb="0" eb="2">
      <t>なら</t>
    </rPh>
    <phoneticPr fontId="1" type="Hiragana"/>
  </si>
  <si>
    <r>
      <t xml:space="preserve">川崎 </t>
    </r>
    <r>
      <rPr>
        <b/>
        <sz val="11"/>
        <color rgb="FFFF0000"/>
        <rFont val="ＭＳ Ｐゴシック"/>
        <family val="3"/>
        <charset val="128"/>
      </rPr>
      <t>G</t>
    </r>
    <rPh sb="0" eb="2">
      <t>かわさき</t>
    </rPh>
    <phoneticPr fontId="1" type="Hiragana"/>
  </si>
  <si>
    <r>
      <t xml:space="preserve">5-1 MNK </t>
    </r>
    <r>
      <rPr>
        <b/>
        <sz val="11"/>
        <color rgb="FFFF0000"/>
        <rFont val="ＭＳ Ｐゴシック"/>
        <family val="3"/>
        <charset val="128"/>
      </rPr>
      <t>G</t>
    </r>
  </si>
  <si>
    <r>
      <t xml:space="preserve">広島 </t>
    </r>
    <r>
      <rPr>
        <b/>
        <sz val="11"/>
        <color rgb="FFFF0000"/>
        <rFont val="ＭＳ Ｐゴシック"/>
        <family val="3"/>
        <charset val="128"/>
      </rPr>
      <t>G</t>
    </r>
    <rPh sb="0" eb="2">
      <t>ひろしま</t>
    </rPh>
    <phoneticPr fontId="1" type="Hiragana"/>
  </si>
  <si>
    <r>
      <t>岸和田</t>
    </r>
    <r>
      <rPr>
        <sz val="10"/>
        <color rgb="FFFF0000"/>
        <rFont val="ＭＳ Ｐゴシック"/>
        <family val="3"/>
        <charset val="128"/>
      </rPr>
      <t>G</t>
    </r>
    <rPh sb="0" eb="3">
      <t>きしわだ</t>
    </rPh>
    <phoneticPr fontId="1" type="Hiragana"/>
  </si>
  <si>
    <r>
      <t xml:space="preserve">松山JC </t>
    </r>
    <r>
      <rPr>
        <b/>
        <sz val="11"/>
        <color rgb="FFFF0000"/>
        <rFont val="ＭＳ Ｐゴシック"/>
        <family val="3"/>
        <charset val="128"/>
      </rPr>
      <t>G</t>
    </r>
    <rPh sb="0" eb="2">
      <t>マツヤマ</t>
    </rPh>
    <phoneticPr fontId="1"/>
  </si>
  <si>
    <r>
      <t>松山JC</t>
    </r>
    <r>
      <rPr>
        <b/>
        <sz val="11"/>
        <color rgb="FFFF0000"/>
        <rFont val="ＭＳ Ｐゴシック"/>
        <family val="3"/>
        <charset val="128"/>
      </rPr>
      <t>G</t>
    </r>
    <rPh sb="0" eb="2">
      <t>マツヤマ</t>
    </rPh>
    <phoneticPr fontId="1"/>
  </si>
  <si>
    <r>
      <t xml:space="preserve">④高松MNK </t>
    </r>
    <r>
      <rPr>
        <b/>
        <sz val="11"/>
        <color rgb="FFFF0000"/>
        <rFont val="ＭＳ Ｐゴシック"/>
        <family val="3"/>
        <charset val="128"/>
      </rPr>
      <t>G</t>
    </r>
    <rPh sb="1" eb="3">
      <t>タカマツ</t>
    </rPh>
    <phoneticPr fontId="1"/>
  </si>
  <si>
    <r>
      <t xml:space="preserve">ミッドGⅢ青森 </t>
    </r>
    <r>
      <rPr>
        <b/>
        <sz val="10"/>
        <color rgb="FFFF0000"/>
        <rFont val="ＭＳ Ｐゴシック"/>
        <family val="3"/>
        <charset val="128"/>
      </rPr>
      <t>G</t>
    </r>
    <rPh sb="5" eb="7">
      <t>アオモリ</t>
    </rPh>
    <phoneticPr fontId="1"/>
  </si>
  <si>
    <r>
      <t xml:space="preserve">小倉　ワールドS </t>
    </r>
    <r>
      <rPr>
        <b/>
        <sz val="10"/>
        <color rgb="FFFF0000"/>
        <rFont val="ＭＳ Ｐゴシック"/>
        <family val="3"/>
        <charset val="128"/>
      </rPr>
      <t>G</t>
    </r>
    <rPh sb="0" eb="2">
      <t>こくら</t>
    </rPh>
    <phoneticPr fontId="1" type="Hiragana"/>
  </si>
  <si>
    <r>
      <t>熊本</t>
    </r>
    <r>
      <rPr>
        <b/>
        <sz val="11"/>
        <color rgb="FFFF0000"/>
        <rFont val="ＭＳ Ｐゴシック"/>
        <family val="3"/>
        <charset val="128"/>
      </rPr>
      <t>G</t>
    </r>
    <rPh sb="0" eb="2">
      <t>クマモト</t>
    </rPh>
    <phoneticPr fontId="1"/>
  </si>
  <si>
    <r>
      <t>⑥高松FⅠ</t>
    </r>
    <r>
      <rPr>
        <b/>
        <sz val="11"/>
        <color rgb="FFFF0000"/>
        <rFont val="ＭＳ Ｐゴシック"/>
        <family val="3"/>
        <charset val="128"/>
      </rPr>
      <t>G</t>
    </r>
    <rPh sb="1" eb="3">
      <t>たかまつ</t>
    </rPh>
    <phoneticPr fontId="1" type="Hiragana"/>
  </si>
  <si>
    <r>
      <t>静岡</t>
    </r>
    <r>
      <rPr>
        <sz val="9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</si>
  <si>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r>
      <t xml:space="preserve">向日町in岸和田 </t>
    </r>
    <r>
      <rPr>
        <b/>
        <sz val="10"/>
        <color rgb="FFFF0000"/>
        <rFont val="ＭＳ Ｐゴシック"/>
        <family val="3"/>
        <charset val="128"/>
      </rPr>
      <t>G</t>
    </r>
    <rPh sb="0" eb="3">
      <t>むこうまち</t>
    </rPh>
    <rPh sb="5" eb="8">
      <t>きしわだ</t>
    </rPh>
    <phoneticPr fontId="1" type="Hiragana"/>
  </si>
  <si>
    <t>法定点検の
ため休館日</t>
    <rPh sb="0" eb="2">
      <t>ホウテイ</t>
    </rPh>
    <rPh sb="2" eb="4">
      <t>テンケン</t>
    </rPh>
    <rPh sb="8" eb="11">
      <t>キュウカンビ</t>
    </rPh>
    <phoneticPr fontId="1"/>
  </si>
  <si>
    <t>富山</t>
    <rPh sb="0" eb="2">
      <t>トヤマ</t>
    </rPh>
    <phoneticPr fontId="1"/>
  </si>
  <si>
    <t>京王閣</t>
    <rPh sb="0" eb="3">
      <t>けいおうかく</t>
    </rPh>
    <phoneticPr fontId="1" type="Hiragana"/>
  </si>
  <si>
    <t>大宮</t>
    <rPh sb="0" eb="2">
      <t>オオミヤ</t>
    </rPh>
    <phoneticPr fontId="1"/>
  </si>
  <si>
    <r>
      <t>松山</t>
    </r>
    <r>
      <rPr>
        <b/>
        <sz val="11"/>
        <color rgb="FFFF0000"/>
        <rFont val="ＭＳ Ｐゴシック"/>
        <family val="3"/>
        <charset val="128"/>
      </rPr>
      <t>G</t>
    </r>
    <rPh sb="0" eb="2">
      <t>マツヤマ</t>
    </rPh>
    <phoneticPr fontId="1"/>
  </si>
  <si>
    <r>
      <t>平塚</t>
    </r>
    <r>
      <rPr>
        <sz val="9"/>
        <color rgb="FFFF0000"/>
        <rFont val="ＭＳ Ｐゴシック"/>
        <family val="3"/>
        <charset val="128"/>
      </rPr>
      <t>G</t>
    </r>
    <rPh sb="0" eb="2">
      <t>ひらつか</t>
    </rPh>
    <phoneticPr fontId="1" type="Hiragana"/>
  </si>
  <si>
    <r>
      <t>松山</t>
    </r>
    <r>
      <rPr>
        <b/>
        <sz val="11"/>
        <color rgb="FFFF0000"/>
        <rFont val="ＭＳ Ｐゴシック"/>
        <family val="3"/>
        <charset val="128"/>
      </rPr>
      <t>G</t>
    </r>
    <rPh sb="0" eb="2">
      <t>まつやま</t>
    </rPh>
    <phoneticPr fontId="1" type="Hiragana"/>
  </si>
  <si>
    <r>
      <t>広島</t>
    </r>
    <r>
      <rPr>
        <b/>
        <sz val="11"/>
        <color rgb="FFFF0000"/>
        <rFont val="ＭＳ Ｐゴシック"/>
        <family val="3"/>
        <charset val="128"/>
      </rPr>
      <t>G</t>
    </r>
    <rPh sb="0" eb="2">
      <t>ひろしま</t>
    </rPh>
    <phoneticPr fontId="1" type="Hiragana"/>
  </si>
  <si>
    <t>伊東温泉</t>
    <rPh sb="0" eb="4">
      <t>いとうおんせん</t>
    </rPh>
    <phoneticPr fontId="1" type="Hiragana"/>
  </si>
  <si>
    <t>久留米</t>
    <rPh sb="0" eb="3">
      <t>クルメ</t>
    </rPh>
    <phoneticPr fontId="1"/>
  </si>
  <si>
    <r>
      <t xml:space="preserve">小倉 ﾜｰﾙﾄﾞS </t>
    </r>
    <r>
      <rPr>
        <b/>
        <sz val="11"/>
        <color rgb="FFFF0000"/>
        <rFont val="ＭＳ Ｐゴシック"/>
        <family val="3"/>
        <charset val="128"/>
      </rPr>
      <t>Ｇ</t>
    </r>
    <rPh sb="0" eb="2">
      <t>こくら</t>
    </rPh>
    <phoneticPr fontId="1" type="Hiragana"/>
  </si>
  <si>
    <r>
      <t>小倉</t>
    </r>
    <r>
      <rPr>
        <b/>
        <sz val="11"/>
        <color rgb="FFFF0000"/>
        <rFont val="ＭＳ Ｐゴシック"/>
        <family val="3"/>
        <charset val="128"/>
      </rPr>
      <t>Ｇ</t>
    </r>
    <rPh sb="0" eb="2">
      <t>コクラ</t>
    </rPh>
    <phoneticPr fontId="1"/>
  </si>
  <si>
    <t>佐世保 G</t>
    <rPh sb="0" eb="3">
      <t>させぼ</t>
    </rPh>
    <phoneticPr fontId="1" type="Hiragana"/>
  </si>
  <si>
    <r>
      <t>平塚</t>
    </r>
    <r>
      <rPr>
        <b/>
        <sz val="11"/>
        <color rgb="FFFF0000"/>
        <rFont val="ＭＳ Ｐゴシック"/>
        <family val="3"/>
        <charset val="128"/>
      </rPr>
      <t>Ｇ</t>
    </r>
    <rPh sb="0" eb="2">
      <t>ヒラツカ</t>
    </rPh>
    <phoneticPr fontId="1"/>
  </si>
  <si>
    <r>
      <t>豊橋</t>
    </r>
    <r>
      <rPr>
        <b/>
        <sz val="11"/>
        <color rgb="FFFF0000"/>
        <rFont val="ＭＳ Ｐゴシック"/>
        <family val="3"/>
        <charset val="128"/>
      </rPr>
      <t>Ｇ</t>
    </r>
    <rPh sb="0" eb="2">
      <t>トヨハシ</t>
    </rPh>
    <phoneticPr fontId="1"/>
  </si>
  <si>
    <r>
      <t>函館</t>
    </r>
    <r>
      <rPr>
        <b/>
        <sz val="11"/>
        <color rgb="FFFF0000"/>
        <rFont val="ＭＳ Ｐゴシック"/>
        <family val="3"/>
        <charset val="128"/>
      </rPr>
      <t>Ｇ</t>
    </r>
    <rPh sb="0" eb="2">
      <t>ハコダテ</t>
    </rPh>
    <phoneticPr fontId="1"/>
  </si>
  <si>
    <r>
      <t xml:space="preserve">岸和田 ワールドS </t>
    </r>
    <r>
      <rPr>
        <b/>
        <sz val="10"/>
        <color rgb="FFFF0000"/>
        <rFont val="ＭＳ Ｐゴシック"/>
        <family val="3"/>
        <charset val="128"/>
      </rPr>
      <t>G</t>
    </r>
    <rPh sb="0" eb="3">
      <t>きしわだ</t>
    </rPh>
    <phoneticPr fontId="1" type="Hiragana"/>
  </si>
  <si>
    <r>
      <t>和歌山</t>
    </r>
    <r>
      <rPr>
        <b/>
        <sz val="11"/>
        <color rgb="FFFF0000"/>
        <rFont val="ＭＳ Ｐゴシック"/>
        <family val="3"/>
        <charset val="128"/>
      </rPr>
      <t>Ｇ</t>
    </r>
    <rPh sb="0" eb="3">
      <t>わかやま</t>
    </rPh>
    <phoneticPr fontId="1" type="Hiragana"/>
  </si>
  <si>
    <t>川崎</t>
    <rPh sb="0" eb="2">
      <t>カワサキ</t>
    </rPh>
    <phoneticPr fontId="1"/>
  </si>
  <si>
    <t>向日町</t>
    <rPh sb="0" eb="3">
      <t>むこうまち</t>
    </rPh>
    <phoneticPr fontId="1" type="Hiragana"/>
  </si>
  <si>
    <t>小倉</t>
    <rPh sb="0" eb="2">
      <t>コクラ</t>
    </rPh>
    <phoneticPr fontId="1"/>
  </si>
  <si>
    <r>
      <t>豊橋</t>
    </r>
    <r>
      <rPr>
        <b/>
        <sz val="11"/>
        <color rgb="FFFF0000"/>
        <rFont val="ＭＳ Ｐゴシック"/>
        <family val="3"/>
        <charset val="128"/>
      </rPr>
      <t>G</t>
    </r>
    <rPh sb="0" eb="2">
      <t>とよはし</t>
    </rPh>
    <phoneticPr fontId="1" type="Hiragana"/>
  </si>
  <si>
    <r>
      <t>豊橋</t>
    </r>
    <r>
      <rPr>
        <sz val="9"/>
        <color rgb="FFFF0000"/>
        <rFont val="ＭＳ Ｐゴシック"/>
        <family val="3"/>
        <charset val="128"/>
      </rPr>
      <t>G</t>
    </r>
    <rPh sb="0" eb="2">
      <t>とよはし</t>
    </rPh>
    <phoneticPr fontId="1" type="Hiragana"/>
  </si>
  <si>
    <r>
      <t>四日市</t>
    </r>
    <r>
      <rPr>
        <b/>
        <sz val="11"/>
        <color rgb="FFFF0000"/>
        <rFont val="ＭＳ Ｐゴシック"/>
        <family val="3"/>
        <charset val="128"/>
      </rPr>
      <t>G</t>
    </r>
    <rPh sb="0" eb="3">
      <t>よっかいち</t>
    </rPh>
    <phoneticPr fontId="1" type="Hiragana"/>
  </si>
  <si>
    <r>
      <t>伊東</t>
    </r>
    <r>
      <rPr>
        <b/>
        <sz val="11"/>
        <color rgb="FFFF0000"/>
        <rFont val="ＭＳ Ｐゴシック"/>
        <family val="3"/>
        <charset val="128"/>
      </rPr>
      <t>G</t>
    </r>
    <rPh sb="0" eb="2">
      <t>いとう</t>
    </rPh>
    <phoneticPr fontId="1" type="Hiragana"/>
  </si>
  <si>
    <r>
      <t xml:space="preserve">向日町in岸和田 </t>
    </r>
    <r>
      <rPr>
        <b/>
        <sz val="11"/>
        <color rgb="FFFF0000"/>
        <rFont val="ＭＳ Ｐゴシック"/>
        <family val="3"/>
        <charset val="128"/>
      </rPr>
      <t>G</t>
    </r>
    <rPh sb="0" eb="3">
      <t>むこうまち</t>
    </rPh>
    <rPh sb="5" eb="8">
      <t>きしわだ</t>
    </rPh>
    <phoneticPr fontId="1" type="Hiragana"/>
  </si>
  <si>
    <t>奈良</t>
    <rPh sb="0" eb="2">
      <t>ナラ</t>
    </rPh>
    <phoneticPr fontId="1"/>
  </si>
  <si>
    <t>伊東</t>
    <rPh sb="0" eb="2">
      <t>いとう</t>
    </rPh>
    <phoneticPr fontId="1" type="Hiragana"/>
  </si>
  <si>
    <t>小松島</t>
    <rPh sb="0" eb="3">
      <t>こまつじま</t>
    </rPh>
    <phoneticPr fontId="1" type="Hiragana"/>
  </si>
  <si>
    <r>
      <t>高松in玉野</t>
    </r>
    <r>
      <rPr>
        <sz val="9"/>
        <color rgb="FFFF0000"/>
        <rFont val="ＭＳ Ｐゴシック"/>
        <family val="3"/>
        <charset val="128"/>
      </rPr>
      <t xml:space="preserve"> G</t>
    </r>
  </si>
  <si>
    <t>前橋</t>
  </si>
  <si>
    <t>高松in玉野</t>
  </si>
  <si>
    <r>
      <t xml:space="preserve">取手KC </t>
    </r>
    <r>
      <rPr>
        <sz val="10"/>
        <color rgb="FFFF0000"/>
        <rFont val="ＭＳ Ｐゴシック"/>
        <family val="3"/>
        <charset val="128"/>
      </rPr>
      <t>G</t>
    </r>
  </si>
  <si>
    <r>
      <t>松山</t>
    </r>
    <r>
      <rPr>
        <sz val="8"/>
        <color rgb="FFFF0000"/>
        <rFont val="ＭＳ Ｐゴシック"/>
        <family val="3"/>
        <charset val="128"/>
      </rPr>
      <t>G</t>
    </r>
    <rPh sb="0" eb="2">
      <t>まつやま</t>
    </rPh>
    <phoneticPr fontId="1" type="Hiragana"/>
  </si>
  <si>
    <r>
      <t>松山</t>
    </r>
    <r>
      <rPr>
        <sz val="11"/>
        <color rgb="FFFF0000"/>
        <rFont val="ＭＳ Ｐゴシック"/>
        <family val="3"/>
        <charset val="128"/>
      </rPr>
      <t>G</t>
    </r>
    <rPh sb="0" eb="2">
      <t>まつやま</t>
    </rPh>
    <phoneticPr fontId="1" type="Hiragana"/>
  </si>
  <si>
    <r>
      <rPr>
        <sz val="9"/>
        <rFont val="ＭＳ Ｐゴシック"/>
        <family val="3"/>
        <charset val="128"/>
      </rPr>
      <t>熊本</t>
    </r>
    <r>
      <rPr>
        <b/>
        <sz val="9"/>
        <color rgb="FFFF0000"/>
        <rFont val="ＭＳ Ｐゴシック"/>
        <family val="3"/>
        <charset val="128"/>
      </rPr>
      <t>G</t>
    </r>
    <rPh sb="0" eb="2">
      <t>クマモト</t>
    </rPh>
    <phoneticPr fontId="1"/>
  </si>
  <si>
    <r>
      <t>函館</t>
    </r>
    <r>
      <rPr>
        <sz val="10"/>
        <color rgb="FFFF0000"/>
        <rFont val="ＭＳ Ｐゴシック"/>
        <family val="3"/>
        <charset val="128"/>
      </rPr>
      <t>G</t>
    </r>
    <rPh sb="0" eb="2">
      <t>ハコダテ</t>
    </rPh>
    <phoneticPr fontId="1"/>
  </si>
  <si>
    <r>
      <rPr>
        <sz val="8"/>
        <color theme="1"/>
        <rFont val="ＭＳ Ｐゴシック"/>
        <family val="3"/>
        <charset val="128"/>
      </rPr>
      <t>静岡</t>
    </r>
    <r>
      <rPr>
        <sz val="8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</si>
  <si>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r>
      <t xml:space="preserve">小倉　ワールドS </t>
    </r>
    <r>
      <rPr>
        <b/>
        <sz val="11"/>
        <color rgb="FFFF0000"/>
        <rFont val="ＭＳ Ｐゴシック"/>
        <family val="3"/>
        <charset val="128"/>
      </rPr>
      <t>G</t>
    </r>
    <rPh sb="0" eb="2">
      <t>こくら</t>
    </rPh>
    <phoneticPr fontId="1" type="Hiragana"/>
  </si>
  <si>
    <r>
      <t>平塚</t>
    </r>
    <r>
      <rPr>
        <b/>
        <sz val="9"/>
        <color rgb="FFFF0000"/>
        <rFont val="ＭＳ Ｐゴシック"/>
        <family val="3"/>
        <charset val="128"/>
      </rPr>
      <t>G</t>
    </r>
    <rPh sb="0" eb="2">
      <t>ヒラツカ</t>
    </rPh>
    <phoneticPr fontId="1"/>
  </si>
  <si>
    <t>休館日</t>
    <rPh sb="0" eb="3">
      <t>きゅうかんび</t>
    </rPh>
    <phoneticPr fontId="1" type="Hiragana"/>
  </si>
  <si>
    <t>豊橋G</t>
  </si>
  <si>
    <r>
      <t>伊東</t>
    </r>
    <r>
      <rPr>
        <sz val="10"/>
        <color rgb="FFFF0000"/>
        <rFont val="ＭＳ Ｐゴシック"/>
        <family val="3"/>
        <charset val="128"/>
      </rPr>
      <t xml:space="preserve"> G</t>
    </r>
  </si>
  <si>
    <r>
      <t xml:space="preserve">佐世保 </t>
    </r>
    <r>
      <rPr>
        <sz val="10"/>
        <color rgb="FFFF0000"/>
        <rFont val="ＭＳ Ｐゴシック"/>
        <family val="3"/>
        <charset val="128"/>
      </rPr>
      <t>G</t>
    </r>
    <rPh sb="0" eb="3">
      <t>させぼ</t>
    </rPh>
    <phoneticPr fontId="1" type="Hiragana"/>
  </si>
  <si>
    <r>
      <t>静岡</t>
    </r>
    <r>
      <rPr>
        <b/>
        <sz val="9"/>
        <color rgb="FFFF0000"/>
        <rFont val="ＭＳ Ｐゴシック"/>
        <family val="3"/>
        <charset val="128"/>
      </rPr>
      <t>G</t>
    </r>
    <rPh sb="0" eb="2">
      <t>しずおか</t>
    </rPh>
    <phoneticPr fontId="1" type="Hiragana"/>
  </si>
  <si>
    <r>
      <t>弥彦</t>
    </r>
    <r>
      <rPr>
        <sz val="9"/>
        <color rgb="FFFF0000"/>
        <rFont val="ＭＳ Ｐゴシック"/>
        <family val="3"/>
        <charset val="128"/>
      </rPr>
      <t>G</t>
    </r>
    <rPh sb="0" eb="2">
      <t>やひこ</t>
    </rPh>
    <phoneticPr fontId="1" type="Hiragana"/>
  </si>
  <si>
    <t>青森</t>
  </si>
  <si>
    <r>
      <t>いわき平</t>
    </r>
    <r>
      <rPr>
        <sz val="10"/>
        <color rgb="FFFF0000"/>
        <rFont val="ＭＳ Ｐゴシック"/>
        <family val="3"/>
        <charset val="128"/>
      </rPr>
      <t>G</t>
    </r>
    <rPh sb="3" eb="4">
      <t>たいら</t>
    </rPh>
    <phoneticPr fontId="1" type="Hiragana"/>
  </si>
  <si>
    <r>
      <t xml:space="preserve">岐阜 </t>
    </r>
    <r>
      <rPr>
        <sz val="9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</si>
  <si>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r>
      <t>岐阜</t>
    </r>
    <r>
      <rPr>
        <sz val="10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</si>
  <si>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t>宇都宮</t>
    <rPh sb="0" eb="3">
      <t>ウツノミヤ</t>
    </rPh>
    <phoneticPr fontId="1"/>
  </si>
  <si>
    <r>
      <rPr>
        <sz val="9"/>
        <color theme="1"/>
        <rFont val="ＭＳ Ｐゴシック"/>
        <family val="3"/>
        <charset val="128"/>
      </rPr>
      <t>西武園</t>
    </r>
    <r>
      <rPr>
        <sz val="9"/>
        <color rgb="FFFF0000"/>
        <rFont val="ＭＳ Ｐゴシック"/>
        <family val="3"/>
        <charset val="128"/>
      </rPr>
      <t>G</t>
    </r>
    <rPh sb="0" eb="3">
      <t>せいぶえん</t>
    </rPh>
    <phoneticPr fontId="1" type="Hiragana"/>
  </si>
  <si>
    <r>
      <rPr>
        <sz val="10"/>
        <color theme="0"/>
        <rFont val="ＭＳ Ｐゴシック"/>
        <family val="3"/>
        <charset val="128"/>
      </rPr>
      <t xml:space="preserve">四日市 </t>
    </r>
    <r>
      <rPr>
        <sz val="10"/>
        <color rgb="FFFF0000"/>
        <rFont val="ＭＳ Ｐゴシック"/>
        <family val="3"/>
        <charset val="128"/>
      </rPr>
      <t>G</t>
    </r>
    <rPh sb="0" eb="3">
      <t>よっかいち</t>
    </rPh>
    <phoneticPr fontId="1" type="Hiragana"/>
  </si>
  <si>
    <r>
      <t>四日市</t>
    </r>
    <r>
      <rPr>
        <sz val="10"/>
        <color rgb="FFFF0000"/>
        <rFont val="ＭＳ Ｐゴシック"/>
        <family val="3"/>
        <charset val="128"/>
      </rPr>
      <t>G</t>
    </r>
    <rPh sb="0" eb="3">
      <t>よっかいち</t>
    </rPh>
    <phoneticPr fontId="1" type="Hiragana"/>
  </si>
  <si>
    <r>
      <rPr>
        <sz val="9"/>
        <color theme="1"/>
        <rFont val="ＭＳ Ｐゴシック"/>
        <family val="3"/>
        <charset val="128"/>
      </rPr>
      <t>富山</t>
    </r>
    <r>
      <rPr>
        <sz val="9"/>
        <color rgb="FFFF0000"/>
        <rFont val="ＭＳ Ｐゴシック"/>
        <family val="3"/>
        <charset val="128"/>
      </rPr>
      <t>G</t>
    </r>
    <rPh sb="0" eb="2">
      <t>とやま</t>
    </rPh>
    <phoneticPr fontId="1" type="Hiragana"/>
  </si>
  <si>
    <r>
      <t xml:space="preserve">岐阜 </t>
    </r>
    <r>
      <rPr>
        <sz val="10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</si>
  <si>
    <r>
      <rPr>
        <sz val="9"/>
        <color theme="0"/>
        <rFont val="ＭＳ Ｐゴシック"/>
        <family val="3"/>
        <charset val="128"/>
      </rPr>
      <t>岐阜</t>
    </r>
    <r>
      <rPr>
        <b/>
        <sz val="9"/>
        <color rgb="FFFF0000"/>
        <rFont val="ＭＳ Ｐゴシック"/>
        <family val="3"/>
        <charset val="128"/>
      </rPr>
      <t>G</t>
    </r>
    <rPh sb="0" eb="2">
      <t>ぎふ</t>
    </rPh>
    <phoneticPr fontId="1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</si>
</sst>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;[Red]\-0\ "/>
  </numFmts>
  <fonts count="39" x14ac:knownFonts="1">
    <font>
      <sz val="11"/>
      <color theme="1"/>
      <name val="ＭＳ Ｐゴシック"/>
      <family val="3"/>
      <scheme val="minor"/>
    </font>
    <font>
      <sz val="6"/>
      <name val="ＭＳ Ｐゴシック"/>
      <family val="3"/>
    </font>
    <font>
      <sz val="11"/>
      <color theme="1"/>
      <name val="ＭＳ Ｐゴシック"/>
      <family val="3"/>
      <scheme val="minor"/>
    </font>
    <font>
      <sz val="11"/>
      <name val="ＭＳ Ｐゴシック"/>
      <family val="3"/>
      <scheme val="minor"/>
    </font>
    <font>
      <b/>
      <sz val="10"/>
      <color theme="0"/>
      <name val="ＭＳ Ｐゴシック"/>
      <family val="3"/>
      <scheme val="minor"/>
    </font>
    <font>
      <sz val="11"/>
      <color theme="0"/>
      <name val="ＭＳ Ｐゴシック"/>
      <family val="3"/>
      <scheme val="minor"/>
    </font>
    <font>
      <sz val="10"/>
      <color theme="0"/>
      <name val="ＭＳ Ｐゴシック"/>
      <family val="3"/>
      <scheme val="minor"/>
    </font>
    <font>
      <sz val="10"/>
      <color theme="1"/>
      <name val="ＭＳ Ｐゴシック"/>
      <family val="3"/>
      <scheme val="minor"/>
    </font>
    <font>
      <b/>
      <strike/>
      <sz val="11"/>
      <color rgb="FFFF0000"/>
      <name val="ＭＳ Ｐゴシック"/>
      <family val="3"/>
      <scheme val="minor"/>
    </font>
    <font>
      <sz val="10"/>
      <name val="ＭＳ Ｐゴシック"/>
      <family val="3"/>
      <scheme val="minor"/>
    </font>
    <font>
      <sz val="9"/>
      <color rgb="FFFF0000"/>
      <name val="ＭＳ Ｐゴシック"/>
      <family val="3"/>
      <scheme val="minor"/>
    </font>
    <font>
      <sz val="8"/>
      <color theme="1"/>
      <name val="ＭＳ Ｐゴシック"/>
      <family val="3"/>
      <scheme val="minor"/>
    </font>
    <font>
      <b/>
      <strike/>
      <sz val="10"/>
      <color theme="0"/>
      <name val="ＭＳ Ｐゴシック"/>
      <family val="3"/>
      <scheme val="minor"/>
    </font>
    <font>
      <b/>
      <sz val="10"/>
      <color theme="1"/>
      <name val="ＭＳ Ｐゴシック"/>
      <family val="3"/>
      <scheme val="minor"/>
    </font>
    <font>
      <sz val="9"/>
      <color theme="0"/>
      <name val="ＭＳ Ｐゴシック"/>
      <family val="3"/>
      <scheme val="minor"/>
    </font>
    <font>
      <sz val="9"/>
      <color theme="1"/>
      <name val="ＭＳ Ｐゴシック"/>
      <family val="3"/>
      <scheme val="minor"/>
    </font>
    <font>
      <sz val="8"/>
      <color theme="0"/>
      <name val="ＭＳ Ｐゴシック"/>
      <family val="3"/>
      <scheme val="minor"/>
    </font>
    <font>
      <sz val="8"/>
      <color rgb="FFFF0000"/>
      <name val="ＭＳ Ｐゴシック"/>
      <family val="3"/>
      <scheme val="minor"/>
    </font>
    <font>
      <b/>
      <sz val="11"/>
      <color rgb="FFFF0000"/>
      <name val="ＭＳ Ｐゴシック"/>
      <family val="3"/>
      <scheme val="minor"/>
    </font>
    <font>
      <b/>
      <strike/>
      <sz val="9"/>
      <color rgb="FFFF0000"/>
      <name val="ＭＳ Ｐゴシック"/>
      <family val="3"/>
      <scheme val="minor"/>
    </font>
    <font>
      <b/>
      <sz val="9"/>
      <color theme="0"/>
      <name val="ＭＳ Ｐゴシック"/>
      <family val="3"/>
      <scheme val="minor"/>
    </font>
    <font>
      <sz val="6"/>
      <color theme="1"/>
      <name val="ＭＳ Ｐゴシック"/>
      <family val="3"/>
      <scheme val="minor"/>
    </font>
    <font>
      <sz val="9"/>
      <name val="ＭＳ Ｐゴシック"/>
      <family val="3"/>
      <scheme val="minor"/>
    </font>
    <font>
      <b/>
      <sz val="9"/>
      <color rgb="FFFF0000"/>
      <name val="ＭＳ Ｐゴシック"/>
      <family val="3"/>
    </font>
    <font>
      <sz val="11"/>
      <color rgb="FFFF0000"/>
      <name val="ＭＳ Ｐゴシック"/>
      <family val="3"/>
      <scheme val="minor"/>
    </font>
    <font>
      <b/>
      <sz val="11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8"/>
      <color theme="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8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8B8B"/>
        <bgColor indexed="64"/>
      </patternFill>
    </fill>
    <fill>
      <patternFill patternType="solid">
        <fgColor rgb="FF90D7F0"/>
        <bgColor indexed="64"/>
      </patternFill>
    </fill>
    <fill>
      <patternFill patternType="solid">
        <fgColor rgb="FFFFA6A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079AC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9" fontId="0" fillId="0" borderId="0" xfId="1" applyFo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23" xfId="0" applyFont="1" applyBorder="1" applyAlignment="1">
      <alignment vertical="center" shrinkToFit="1"/>
    </xf>
    <xf numFmtId="0" fontId="5" fillId="4" borderId="23" xfId="0" applyFont="1" applyFill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9" xfId="0" applyBorder="1">
      <alignment vertical="center"/>
    </xf>
    <xf numFmtId="0" fontId="5" fillId="0" borderId="22" xfId="0" applyFont="1" applyBorder="1" applyAlignment="1">
      <alignment horizontal="center" vertical="center" shrinkToFit="1"/>
    </xf>
    <xf numFmtId="0" fontId="4" fillId="0" borderId="21" xfId="0" applyFont="1" applyBorder="1" applyAlignment="1">
      <alignment vertical="center" shrinkToFit="1"/>
    </xf>
    <xf numFmtId="0" fontId="4" fillId="0" borderId="29" xfId="0" applyFont="1" applyBorder="1" applyAlignment="1">
      <alignment vertical="center" shrinkToFit="1"/>
    </xf>
    <xf numFmtId="0" fontId="6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23" xfId="0" applyFont="1" applyBorder="1" applyAlignment="1">
      <alignment vertical="center" shrinkToFit="1"/>
    </xf>
    <xf numFmtId="0" fontId="3" fillId="3" borderId="23" xfId="0" applyFont="1" applyFill="1" applyBorder="1" applyAlignment="1">
      <alignment horizontal="center" vertical="center" shrinkToFit="1"/>
    </xf>
    <xf numFmtId="0" fontId="8" fillId="0" borderId="34" xfId="0" applyFont="1" applyBorder="1" applyAlignment="1">
      <alignment vertical="center" shrinkToFit="1"/>
    </xf>
    <xf numFmtId="0" fontId="4" fillId="0" borderId="22" xfId="0" applyFont="1" applyBorder="1" applyAlignment="1">
      <alignment vertical="center" shrinkToFit="1"/>
    </xf>
    <xf numFmtId="0" fontId="9" fillId="0" borderId="9" xfId="0" applyFont="1" applyBorder="1" applyAlignment="1">
      <alignment vertical="center" shrinkToFit="1"/>
    </xf>
    <xf numFmtId="0" fontId="5" fillId="4" borderId="23" xfId="0" applyFont="1" applyFill="1" applyBorder="1" applyAlignment="1">
      <alignment horizontal="center" vertical="center" shrinkToFit="1"/>
    </xf>
    <xf numFmtId="0" fontId="5" fillId="4" borderId="2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 shrinkToFit="1"/>
    </xf>
    <xf numFmtId="0" fontId="6" fillId="0" borderId="29" xfId="0" applyFont="1" applyBorder="1">
      <alignment vertical="center"/>
    </xf>
    <xf numFmtId="0" fontId="3" fillId="3" borderId="30" xfId="0" applyFont="1" applyFill="1" applyBorder="1" applyAlignment="1">
      <alignment horizontal="center" vertical="center" shrinkToFit="1"/>
    </xf>
    <xf numFmtId="0" fontId="0" fillId="0" borderId="37" xfId="0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vertical="center" shrinkToFit="1"/>
    </xf>
    <xf numFmtId="0" fontId="9" fillId="8" borderId="22" xfId="0" applyFont="1" applyFill="1" applyBorder="1" applyAlignment="1">
      <alignment horizontal="center" vertical="center" shrinkToFit="1"/>
    </xf>
    <xf numFmtId="0" fontId="3" fillId="8" borderId="30" xfId="0" applyFont="1" applyFill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/>
    </xf>
    <xf numFmtId="0" fontId="6" fillId="0" borderId="29" xfId="0" applyFont="1" applyBorder="1" applyAlignment="1">
      <alignment vertical="center" shrinkToFit="1"/>
    </xf>
    <xf numFmtId="0" fontId="6" fillId="0" borderId="31" xfId="0" applyFont="1" applyBorder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shrinkToFit="1"/>
    </xf>
    <xf numFmtId="0" fontId="5" fillId="4" borderId="24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6" fillId="4" borderId="22" xfId="0" applyFont="1" applyFill="1" applyBorder="1" applyAlignment="1">
      <alignment vertical="center" shrinkToFit="1"/>
    </xf>
    <xf numFmtId="0" fontId="0" fillId="9" borderId="22" xfId="0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0" fontId="5" fillId="4" borderId="41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7" fillId="0" borderId="30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4" fillId="0" borderId="30" xfId="0" applyFont="1" applyBorder="1" applyAlignment="1">
      <alignment vertical="center" shrinkToFit="1"/>
    </xf>
    <xf numFmtId="0" fontId="9" fillId="0" borderId="23" xfId="0" applyFont="1" applyBorder="1" applyAlignment="1">
      <alignment vertical="center" shrinkToFit="1"/>
    </xf>
    <xf numFmtId="0" fontId="5" fillId="0" borderId="46" xfId="0" applyFont="1" applyBorder="1" applyAlignment="1">
      <alignment vertical="center" shrinkToFit="1"/>
    </xf>
    <xf numFmtId="0" fontId="6" fillId="4" borderId="23" xfId="0" applyFont="1" applyFill="1" applyBorder="1" applyAlignment="1">
      <alignment vertical="center" shrinkToFit="1"/>
    </xf>
    <xf numFmtId="0" fontId="6" fillId="0" borderId="31" xfId="0" applyFont="1" applyBorder="1" applyAlignment="1">
      <alignment vertical="center" shrinkToFit="1"/>
    </xf>
    <xf numFmtId="0" fontId="6" fillId="0" borderId="23" xfId="0" applyFont="1" applyBorder="1" applyAlignment="1">
      <alignment horizontal="center" vertical="center"/>
    </xf>
    <xf numFmtId="0" fontId="10" fillId="3" borderId="23" xfId="0" applyFont="1" applyFill="1" applyBorder="1" applyAlignment="1">
      <alignment vertical="center" shrinkToFit="1"/>
    </xf>
    <xf numFmtId="0" fontId="0" fillId="0" borderId="50" xfId="0" applyBorder="1">
      <alignment vertical="center"/>
    </xf>
    <xf numFmtId="0" fontId="6" fillId="0" borderId="36" xfId="0" applyFont="1" applyBorder="1">
      <alignment vertical="center"/>
    </xf>
    <xf numFmtId="0" fontId="9" fillId="0" borderId="0" xfId="0" applyFont="1" applyAlignment="1">
      <alignment vertical="center" shrinkToFit="1"/>
    </xf>
    <xf numFmtId="0" fontId="5" fillId="4" borderId="35" xfId="0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vertical="center" shrinkToFit="1"/>
    </xf>
    <xf numFmtId="0" fontId="0" fillId="0" borderId="53" xfId="0" applyBorder="1" applyAlignment="1">
      <alignment horizontal="center" vertical="center"/>
    </xf>
    <xf numFmtId="0" fontId="6" fillId="0" borderId="30" xfId="0" applyFont="1" applyBorder="1" applyAlignment="1">
      <alignment vertical="center" shrinkToFit="1"/>
    </xf>
    <xf numFmtId="0" fontId="11" fillId="2" borderId="35" xfId="0" applyFont="1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 shrinkToFit="1"/>
    </xf>
    <xf numFmtId="0" fontId="11" fillId="2" borderId="47" xfId="0" applyFont="1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4" borderId="23" xfId="0" applyFont="1" applyFill="1" applyBorder="1">
      <alignment vertical="center"/>
    </xf>
    <xf numFmtId="0" fontId="6" fillId="0" borderId="27" xfId="0" applyFont="1" applyBorder="1">
      <alignment vertical="center"/>
    </xf>
    <xf numFmtId="0" fontId="3" fillId="0" borderId="23" xfId="0" applyFont="1" applyBorder="1">
      <alignment vertical="center"/>
    </xf>
    <xf numFmtId="0" fontId="0" fillId="2" borderId="23" xfId="0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12" fillId="0" borderId="22" xfId="0" applyFont="1" applyBorder="1" applyAlignment="1">
      <alignment vertical="center" shrinkToFit="1"/>
    </xf>
    <xf numFmtId="0" fontId="5" fillId="0" borderId="22" xfId="0" applyFont="1" applyBorder="1">
      <alignment vertical="center"/>
    </xf>
    <xf numFmtId="0" fontId="3" fillId="0" borderId="42" xfId="0" applyFont="1" applyBorder="1">
      <alignment vertical="center"/>
    </xf>
    <xf numFmtId="0" fontId="4" fillId="0" borderId="27" xfId="0" applyFont="1" applyBorder="1" applyAlignment="1">
      <alignment vertical="center" shrinkToFit="1"/>
    </xf>
    <xf numFmtId="0" fontId="0" fillId="0" borderId="42" xfId="0" applyBorder="1">
      <alignment vertical="center"/>
    </xf>
    <xf numFmtId="0" fontId="0" fillId="0" borderId="35" xfId="0" applyBorder="1">
      <alignment vertical="center"/>
    </xf>
    <xf numFmtId="0" fontId="6" fillId="0" borderId="41" xfId="0" applyFont="1" applyBorder="1" applyAlignment="1">
      <alignment vertical="center" shrinkToFit="1"/>
    </xf>
    <xf numFmtId="0" fontId="3" fillId="0" borderId="34" xfId="0" applyFont="1" applyBorder="1" applyAlignment="1">
      <alignment horizontal="center" vertical="center" shrinkToFit="1"/>
    </xf>
    <xf numFmtId="0" fontId="4" fillId="6" borderId="23" xfId="0" applyFont="1" applyFill="1" applyBorder="1" applyAlignment="1">
      <alignment vertical="center" shrinkToFit="1"/>
    </xf>
    <xf numFmtId="0" fontId="0" fillId="2" borderId="21" xfId="0" applyFill="1" applyBorder="1" applyAlignment="1">
      <alignment horizontal="center" vertical="center"/>
    </xf>
    <xf numFmtId="0" fontId="6" fillId="4" borderId="55" xfId="0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0" fontId="5" fillId="4" borderId="23" xfId="0" applyFont="1" applyFill="1" applyBorder="1" applyAlignment="1">
      <alignment vertical="center" shrinkToFit="1"/>
    </xf>
    <xf numFmtId="0" fontId="14" fillId="4" borderId="23" xfId="0" applyFont="1" applyFill="1" applyBorder="1">
      <alignment vertical="center"/>
    </xf>
    <xf numFmtId="0" fontId="5" fillId="7" borderId="0" xfId="0" applyFont="1" applyFill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4" fillId="0" borderId="36" xfId="0" applyFont="1" applyBorder="1" applyAlignment="1">
      <alignment vertical="center" shrinkToFit="1"/>
    </xf>
    <xf numFmtId="0" fontId="7" fillId="2" borderId="34" xfId="0" applyFont="1" applyFill="1" applyBorder="1" applyAlignment="1">
      <alignment horizontal="center" vertical="center" shrinkToFit="1"/>
    </xf>
    <xf numFmtId="0" fontId="15" fillId="2" borderId="47" xfId="0" applyFont="1" applyFill="1" applyBorder="1">
      <alignment vertical="center"/>
    </xf>
    <xf numFmtId="0" fontId="14" fillId="4" borderId="45" xfId="0" applyFont="1" applyFill="1" applyBorder="1" applyAlignment="1">
      <alignment vertical="center" shrinkToFit="1"/>
    </xf>
    <xf numFmtId="0" fontId="15" fillId="3" borderId="23" xfId="0" applyFont="1" applyFill="1" applyBorder="1" applyAlignment="1">
      <alignment vertical="center" shrinkToFit="1"/>
    </xf>
    <xf numFmtId="0" fontId="0" fillId="0" borderId="45" xfId="0" applyBorder="1">
      <alignment vertical="center"/>
    </xf>
    <xf numFmtId="0" fontId="8" fillId="0" borderId="38" xfId="0" applyFont="1" applyBorder="1">
      <alignment vertical="center"/>
    </xf>
    <xf numFmtId="0" fontId="8" fillId="0" borderId="34" xfId="0" applyFont="1" applyBorder="1">
      <alignment vertical="center"/>
    </xf>
    <xf numFmtId="0" fontId="5" fillId="0" borderId="44" xfId="0" applyFont="1" applyBorder="1" applyAlignment="1">
      <alignment vertical="center" shrinkToFit="1"/>
    </xf>
    <xf numFmtId="0" fontId="6" fillId="0" borderId="58" xfId="0" applyFont="1" applyBorder="1">
      <alignment vertical="center"/>
    </xf>
    <xf numFmtId="0" fontId="9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46" xfId="0" applyFont="1" applyBorder="1">
      <alignment vertical="center"/>
    </xf>
    <xf numFmtId="0" fontId="8" fillId="0" borderId="22" xfId="0" applyFont="1" applyBorder="1" applyAlignment="1">
      <alignment vertical="center" shrinkToFit="1"/>
    </xf>
    <xf numFmtId="0" fontId="7" fillId="0" borderId="23" xfId="0" applyFont="1" applyBorder="1" applyAlignment="1">
      <alignment horizontal="center" vertical="center"/>
    </xf>
    <xf numFmtId="0" fontId="5" fillId="4" borderId="22" xfId="0" applyFont="1" applyFill="1" applyBorder="1" applyAlignment="1">
      <alignment vertical="center" shrinkToFit="1"/>
    </xf>
    <xf numFmtId="0" fontId="9" fillId="4" borderId="22" xfId="0" applyFont="1" applyFill="1" applyBorder="1" applyAlignment="1">
      <alignment vertical="center" shrinkToFit="1"/>
    </xf>
    <xf numFmtId="0" fontId="5" fillId="12" borderId="0" xfId="0" applyFont="1" applyFill="1" applyAlignment="1">
      <alignment horizontal="center" vertical="center"/>
    </xf>
    <xf numFmtId="0" fontId="15" fillId="2" borderId="35" xfId="0" applyFont="1" applyFill="1" applyBorder="1">
      <alignment vertical="center"/>
    </xf>
    <xf numFmtId="0" fontId="0" fillId="3" borderId="23" xfId="0" applyFill="1" applyBorder="1" applyAlignment="1">
      <alignment vertical="center" shrinkToFit="1"/>
    </xf>
    <xf numFmtId="0" fontId="15" fillId="2" borderId="21" xfId="0" applyFont="1" applyFill="1" applyBorder="1" applyAlignment="1">
      <alignment horizontal="center" vertical="center" shrinkToFit="1"/>
    </xf>
    <xf numFmtId="0" fontId="11" fillId="3" borderId="0" xfId="0" applyFont="1" applyFill="1" applyAlignment="1">
      <alignment horizontal="center" vertical="center"/>
    </xf>
    <xf numFmtId="0" fontId="7" fillId="2" borderId="21" xfId="0" applyFont="1" applyFill="1" applyBorder="1" applyAlignment="1">
      <alignment horizontal="center" vertical="center" shrinkToFit="1"/>
    </xf>
    <xf numFmtId="0" fontId="16" fillId="4" borderId="34" xfId="0" applyFont="1" applyFill="1" applyBorder="1" applyAlignment="1">
      <alignment vertical="center" shrinkToFit="1"/>
    </xf>
    <xf numFmtId="0" fontId="14" fillId="4" borderId="22" xfId="0" applyFont="1" applyFill="1" applyBorder="1" applyAlignment="1">
      <alignment vertical="center" shrinkToFit="1"/>
    </xf>
    <xf numFmtId="0" fontId="6" fillId="0" borderId="34" xfId="0" applyFont="1" applyBorder="1" applyAlignment="1">
      <alignment vertical="center" shrinkToFit="1"/>
    </xf>
    <xf numFmtId="0" fontId="8" fillId="0" borderId="45" xfId="0" applyFont="1" applyBorder="1">
      <alignment vertical="center"/>
    </xf>
    <xf numFmtId="0" fontId="8" fillId="0" borderId="42" xfId="0" applyFont="1" applyBorder="1">
      <alignment vertical="center"/>
    </xf>
    <xf numFmtId="0" fontId="7" fillId="2" borderId="23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0" fillId="0" borderId="23" xfId="0" applyBorder="1">
      <alignment vertical="center"/>
    </xf>
    <xf numFmtId="0" fontId="17" fillId="3" borderId="0" xfId="0" applyFont="1" applyFill="1" applyAlignment="1">
      <alignment horizontal="center" vertical="center"/>
    </xf>
    <xf numFmtId="0" fontId="3" fillId="3" borderId="23" xfId="0" applyFont="1" applyFill="1" applyBorder="1" applyAlignment="1">
      <alignment vertical="center" shrinkToFit="1"/>
    </xf>
    <xf numFmtId="0" fontId="0" fillId="2" borderId="0" xfId="0" applyFill="1" applyAlignment="1">
      <alignment horizontal="center" vertical="center"/>
    </xf>
    <xf numFmtId="0" fontId="18" fillId="0" borderId="44" xfId="0" applyFont="1" applyBorder="1">
      <alignment vertical="center"/>
    </xf>
    <xf numFmtId="0" fontId="5" fillId="0" borderId="34" xfId="0" applyFont="1" applyBorder="1" applyAlignment="1">
      <alignment vertical="center" shrinkToFit="1"/>
    </xf>
    <xf numFmtId="0" fontId="0" fillId="9" borderId="41" xfId="0" applyFill="1" applyBorder="1" applyAlignment="1">
      <alignment horizontal="center" vertical="center"/>
    </xf>
    <xf numFmtId="56" fontId="19" fillId="0" borderId="23" xfId="0" applyNumberFormat="1" applyFont="1" applyBorder="1">
      <alignment vertical="center"/>
    </xf>
    <xf numFmtId="0" fontId="15" fillId="2" borderId="35" xfId="0" applyFont="1" applyFill="1" applyBorder="1" applyAlignment="1">
      <alignment horizontal="center" vertical="center"/>
    </xf>
    <xf numFmtId="0" fontId="19" fillId="0" borderId="23" xfId="0" applyFont="1" applyBorder="1">
      <alignment vertical="center"/>
    </xf>
    <xf numFmtId="0" fontId="20" fillId="4" borderId="23" xfId="0" applyFont="1" applyFill="1" applyBorder="1" applyAlignment="1">
      <alignment vertical="center" shrinkToFit="1"/>
    </xf>
    <xf numFmtId="0" fontId="5" fillId="4" borderId="0" xfId="0" applyFont="1" applyFill="1" applyAlignment="1">
      <alignment horizontal="center" vertical="center"/>
    </xf>
    <xf numFmtId="0" fontId="4" fillId="0" borderId="26" xfId="0" applyFont="1" applyBorder="1" applyAlignment="1">
      <alignment vertical="center" shrinkToFit="1"/>
    </xf>
    <xf numFmtId="0" fontId="0" fillId="0" borderId="25" xfId="0" applyBorder="1" applyAlignment="1">
      <alignment horizontal="center" vertical="center"/>
    </xf>
    <xf numFmtId="0" fontId="0" fillId="2" borderId="23" xfId="0" applyFill="1" applyBorder="1">
      <alignment vertical="center"/>
    </xf>
    <xf numFmtId="0" fontId="6" fillId="0" borderId="23" xfId="0" applyFont="1" applyBorder="1">
      <alignment vertical="center"/>
    </xf>
    <xf numFmtId="0" fontId="5" fillId="0" borderId="0" xfId="0" applyFont="1" applyAlignment="1">
      <alignment vertical="center" shrinkToFit="1"/>
    </xf>
    <xf numFmtId="0" fontId="14" fillId="4" borderId="55" xfId="0" applyFont="1" applyFill="1" applyBorder="1" applyAlignment="1">
      <alignment horizontal="center" vertical="center"/>
    </xf>
    <xf numFmtId="0" fontId="6" fillId="0" borderId="25" xfId="0" applyFont="1" applyBorder="1">
      <alignment vertical="center"/>
    </xf>
    <xf numFmtId="0" fontId="8" fillId="0" borderId="24" xfId="0" applyFont="1" applyBorder="1" applyAlignment="1">
      <alignment vertical="center" wrapText="1"/>
    </xf>
    <xf numFmtId="0" fontId="4" fillId="0" borderId="24" xfId="0" applyFont="1" applyBorder="1" applyAlignment="1">
      <alignment vertical="center" shrinkToFit="1"/>
    </xf>
    <xf numFmtId="0" fontId="8" fillId="0" borderId="41" xfId="0" applyFont="1" applyBorder="1" applyAlignment="1">
      <alignment vertical="center" shrinkToFit="1"/>
    </xf>
    <xf numFmtId="0" fontId="9" fillId="0" borderId="50" xfId="0" applyFont="1" applyBorder="1">
      <alignment vertical="center"/>
    </xf>
    <xf numFmtId="0" fontId="16" fillId="4" borderId="55" xfId="0" applyFont="1" applyFill="1" applyBorder="1" applyAlignment="1">
      <alignment horizontal="center" vertical="center"/>
    </xf>
    <xf numFmtId="0" fontId="0" fillId="0" borderId="44" xfId="0" applyBorder="1">
      <alignment vertical="center"/>
    </xf>
    <xf numFmtId="0" fontId="18" fillId="0" borderId="41" xfId="0" applyFont="1" applyBorder="1" applyAlignment="1">
      <alignment vertical="center" shrinkToFit="1"/>
    </xf>
    <xf numFmtId="0" fontId="0" fillId="0" borderId="47" xfId="0" applyBorder="1">
      <alignment vertical="center"/>
    </xf>
    <xf numFmtId="0" fontId="15" fillId="2" borderId="24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3" fillId="0" borderId="51" xfId="0" applyFont="1" applyBorder="1" applyAlignment="1">
      <alignment vertical="center" shrinkToFit="1"/>
    </xf>
    <xf numFmtId="0" fontId="9" fillId="0" borderId="42" xfId="0" applyFont="1" applyBorder="1">
      <alignment vertical="center"/>
    </xf>
    <xf numFmtId="0" fontId="15" fillId="3" borderId="42" xfId="0" applyFont="1" applyFill="1" applyBorder="1">
      <alignment vertical="center"/>
    </xf>
    <xf numFmtId="0" fontId="14" fillId="4" borderId="41" xfId="0" applyFont="1" applyFill="1" applyBorder="1" applyAlignment="1">
      <alignment horizontal="center" vertical="center" shrinkToFit="1"/>
    </xf>
    <xf numFmtId="0" fontId="0" fillId="0" borderId="42" xfId="0" applyBorder="1" applyAlignment="1">
      <alignment horizontal="center" vertical="center"/>
    </xf>
    <xf numFmtId="0" fontId="5" fillId="0" borderId="24" xfId="0" applyFont="1" applyBorder="1">
      <alignment vertical="center"/>
    </xf>
    <xf numFmtId="0" fontId="0" fillId="8" borderId="0" xfId="0" applyFill="1" applyAlignment="1">
      <alignment horizontal="center" vertical="center"/>
    </xf>
    <xf numFmtId="0" fontId="5" fillId="0" borderId="40" xfId="0" applyFont="1" applyBorder="1" applyAlignment="1">
      <alignment vertical="center" shrinkToFit="1"/>
    </xf>
    <xf numFmtId="0" fontId="0" fillId="2" borderId="24" xfId="0" applyFill="1" applyBorder="1">
      <alignment vertical="center"/>
    </xf>
    <xf numFmtId="0" fontId="5" fillId="0" borderId="45" xfId="0" applyFont="1" applyBorder="1">
      <alignment vertical="center"/>
    </xf>
    <xf numFmtId="0" fontId="16" fillId="4" borderId="23" xfId="0" applyFont="1" applyFill="1" applyBorder="1" applyAlignment="1">
      <alignment vertical="center" shrinkToFit="1"/>
    </xf>
    <xf numFmtId="0" fontId="0" fillId="0" borderId="23" xfId="0" applyBorder="1" applyAlignment="1">
      <alignment horizontal="center" vertical="center"/>
    </xf>
    <xf numFmtId="0" fontId="6" fillId="0" borderId="59" xfId="0" applyFont="1" applyBorder="1">
      <alignment vertical="center"/>
    </xf>
    <xf numFmtId="0" fontId="8" fillId="0" borderId="47" xfId="0" applyFont="1" applyBorder="1">
      <alignment vertical="center"/>
    </xf>
    <xf numFmtId="0" fontId="4" fillId="0" borderId="45" xfId="0" applyFont="1" applyBorder="1" applyAlignment="1">
      <alignment vertical="center" shrinkToFit="1"/>
    </xf>
    <xf numFmtId="0" fontId="4" fillId="0" borderId="51" xfId="0" applyFont="1" applyBorder="1" applyAlignment="1">
      <alignment vertical="center" shrinkToFit="1"/>
    </xf>
    <xf numFmtId="0" fontId="0" fillId="6" borderId="51" xfId="0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 shrinkToFit="1"/>
    </xf>
    <xf numFmtId="0" fontId="10" fillId="4" borderId="22" xfId="0" applyFont="1" applyFill="1" applyBorder="1" applyAlignment="1">
      <alignment vertical="center" shrinkToFit="1"/>
    </xf>
    <xf numFmtId="0" fontId="6" fillId="0" borderId="26" xfId="0" applyFont="1" applyBorder="1">
      <alignment vertical="center"/>
    </xf>
    <xf numFmtId="0" fontId="15" fillId="2" borderId="2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6" fillId="0" borderId="47" xfId="0" applyFont="1" applyBorder="1" applyAlignment="1">
      <alignment vertical="center" shrinkToFit="1"/>
    </xf>
    <xf numFmtId="0" fontId="7" fillId="2" borderId="21" xfId="0" applyFont="1" applyFill="1" applyBorder="1" applyAlignment="1">
      <alignment vertical="center" shrinkToFit="1"/>
    </xf>
    <xf numFmtId="0" fontId="9" fillId="0" borderId="50" xfId="0" applyFont="1" applyBorder="1" applyAlignment="1">
      <alignment vertical="center" shrinkToFit="1"/>
    </xf>
    <xf numFmtId="0" fontId="0" fillId="0" borderId="38" xfId="0" applyBorder="1">
      <alignment vertical="center"/>
    </xf>
    <xf numFmtId="0" fontId="0" fillId="0" borderId="41" xfId="0" applyBorder="1">
      <alignment vertical="center"/>
    </xf>
    <xf numFmtId="0" fontId="0" fillId="0" borderId="21" xfId="0" applyBorder="1" applyAlignment="1">
      <alignment horizontal="center" vertical="center" shrinkToFit="1"/>
    </xf>
    <xf numFmtId="0" fontId="9" fillId="2" borderId="34" xfId="0" applyFont="1" applyFill="1" applyBorder="1" applyAlignment="1">
      <alignment horizontal="center" vertical="center" shrinkToFit="1"/>
    </xf>
    <xf numFmtId="0" fontId="14" fillId="4" borderId="22" xfId="0" applyFont="1" applyFill="1" applyBorder="1" applyAlignment="1">
      <alignment horizontal="center" vertical="center" shrinkToFit="1"/>
    </xf>
    <xf numFmtId="0" fontId="8" fillId="0" borderId="23" xfId="0" applyFont="1" applyBorder="1" applyAlignment="1">
      <alignment vertical="center" shrinkToFit="1"/>
    </xf>
    <xf numFmtId="0" fontId="4" fillId="0" borderId="41" xfId="0" applyFont="1" applyBorder="1" applyAlignment="1">
      <alignment vertical="center" shrinkToFit="1"/>
    </xf>
    <xf numFmtId="0" fontId="21" fillId="0" borderId="27" xfId="0" applyFont="1" applyBorder="1" applyAlignment="1">
      <alignment vertical="center" textRotation="255"/>
    </xf>
    <xf numFmtId="0" fontId="0" fillId="6" borderId="41" xfId="0" applyFill="1" applyBorder="1" applyAlignment="1">
      <alignment horizontal="center" vertical="center"/>
    </xf>
    <xf numFmtId="0" fontId="4" fillId="0" borderId="28" xfId="0" applyFont="1" applyBorder="1" applyAlignment="1">
      <alignment vertical="center" shrinkToFit="1"/>
    </xf>
    <xf numFmtId="0" fontId="18" fillId="0" borderId="0" xfId="0" applyFont="1">
      <alignment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3" fillId="3" borderId="67" xfId="0" applyFont="1" applyFill="1" applyBorder="1" applyAlignment="1">
      <alignment horizontal="center" vertical="center" shrinkToFit="1"/>
    </xf>
    <xf numFmtId="0" fontId="6" fillId="0" borderId="67" xfId="0" applyFont="1" applyBorder="1" applyAlignment="1">
      <alignment vertical="center" shrinkToFit="1"/>
    </xf>
    <xf numFmtId="0" fontId="5" fillId="4" borderId="69" xfId="0" applyFont="1" applyFill="1" applyBorder="1" applyAlignment="1">
      <alignment horizontal="center" vertical="center" shrinkToFit="1"/>
    </xf>
    <xf numFmtId="0" fontId="4" fillId="0" borderId="67" xfId="0" applyFont="1" applyBorder="1" applyAlignment="1">
      <alignment vertical="center" shrinkToFit="1"/>
    </xf>
    <xf numFmtId="0" fontId="5" fillId="4" borderId="67" xfId="0" applyFont="1" applyFill="1" applyBorder="1" applyAlignment="1">
      <alignment horizontal="center" vertical="center" shrinkToFit="1"/>
    </xf>
    <xf numFmtId="0" fontId="22" fillId="3" borderId="67" xfId="0" applyFont="1" applyFill="1" applyBorder="1" applyAlignment="1">
      <alignment horizontal="center" vertical="center" shrinkToFit="1"/>
    </xf>
    <xf numFmtId="0" fontId="5" fillId="4" borderId="70" xfId="0" applyFont="1" applyFill="1" applyBorder="1" applyAlignment="1">
      <alignment horizontal="center" vertical="center" shrinkToFit="1"/>
    </xf>
    <xf numFmtId="0" fontId="6" fillId="0" borderId="71" xfId="0" applyFont="1" applyBorder="1">
      <alignment vertical="center"/>
    </xf>
    <xf numFmtId="0" fontId="4" fillId="0" borderId="70" xfId="0" applyFont="1" applyBorder="1" applyAlignment="1">
      <alignment vertical="center" shrinkToFit="1"/>
    </xf>
    <xf numFmtId="0" fontId="7" fillId="0" borderId="70" xfId="0" applyFont="1" applyBorder="1">
      <alignment vertical="center"/>
    </xf>
    <xf numFmtId="0" fontId="7" fillId="0" borderId="72" xfId="0" applyFont="1" applyBorder="1">
      <alignment vertical="center"/>
    </xf>
    <xf numFmtId="0" fontId="3" fillId="3" borderId="71" xfId="0" applyFont="1" applyFill="1" applyBorder="1" applyAlignment="1">
      <alignment horizontal="center" vertical="center" shrinkToFit="1"/>
    </xf>
    <xf numFmtId="0" fontId="7" fillId="0" borderId="71" xfId="0" applyFont="1" applyBorder="1">
      <alignment vertical="center"/>
    </xf>
    <xf numFmtId="0" fontId="6" fillId="0" borderId="74" xfId="0" applyFont="1" applyBorder="1">
      <alignment vertical="center"/>
    </xf>
    <xf numFmtId="0" fontId="4" fillId="0" borderId="75" xfId="0" applyFont="1" applyBorder="1" applyAlignment="1">
      <alignment vertical="center" shrinkToFit="1"/>
    </xf>
    <xf numFmtId="0" fontId="4" fillId="0" borderId="69" xfId="0" applyFont="1" applyBorder="1" applyAlignment="1">
      <alignment vertical="center" shrinkToFit="1"/>
    </xf>
    <xf numFmtId="0" fontId="6" fillId="0" borderId="67" xfId="0" applyFont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 shrinkToFit="1"/>
    </xf>
    <xf numFmtId="0" fontId="5" fillId="4" borderId="65" xfId="0" applyFont="1" applyFill="1" applyBorder="1" applyAlignment="1">
      <alignment horizontal="center" vertical="center" shrinkToFit="1"/>
    </xf>
    <xf numFmtId="0" fontId="14" fillId="4" borderId="65" xfId="0" applyFont="1" applyFill="1" applyBorder="1" applyAlignment="1">
      <alignment horizontal="center" vertical="center" shrinkToFit="1"/>
    </xf>
    <xf numFmtId="0" fontId="0" fillId="0" borderId="73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6" fillId="0" borderId="72" xfId="0" applyFont="1" applyBorder="1">
      <alignment vertical="center"/>
    </xf>
    <xf numFmtId="0" fontId="0" fillId="0" borderId="61" xfId="0" applyBorder="1" applyAlignment="1">
      <alignment horizontal="center" vertical="center"/>
    </xf>
    <xf numFmtId="0" fontId="3" fillId="0" borderId="24" xfId="0" applyFont="1" applyBorder="1" applyAlignment="1">
      <alignment vertical="center" shrinkToFit="1"/>
    </xf>
    <xf numFmtId="0" fontId="0" fillId="6" borderId="65" xfId="0" applyFill="1" applyBorder="1" applyAlignment="1">
      <alignment horizontal="center" vertical="center"/>
    </xf>
    <xf numFmtId="0" fontId="4" fillId="0" borderId="64" xfId="0" applyFont="1" applyBorder="1" applyAlignment="1">
      <alignment vertical="center" shrinkToFit="1"/>
    </xf>
    <xf numFmtId="0" fontId="4" fillId="6" borderId="24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 shrinkToFit="1"/>
    </xf>
    <xf numFmtId="0" fontId="18" fillId="0" borderId="80" xfId="0" applyFont="1" applyBorder="1">
      <alignment vertical="center"/>
    </xf>
    <xf numFmtId="0" fontId="18" fillId="0" borderId="80" xfId="0" applyFont="1" applyBorder="1" applyAlignment="1">
      <alignment vertical="center" shrinkToFit="1"/>
    </xf>
    <xf numFmtId="0" fontId="7" fillId="0" borderId="70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4" fillId="0" borderId="6" xfId="0" applyFont="1" applyBorder="1" applyAlignment="1">
      <alignment vertical="center" shrinkToFit="1"/>
    </xf>
    <xf numFmtId="0" fontId="0" fillId="0" borderId="6" xfId="0" applyBorder="1" applyAlignment="1">
      <alignment horizontal="center" vertical="center" shrinkToFit="1"/>
    </xf>
    <xf numFmtId="0" fontId="6" fillId="0" borderId="81" xfId="0" applyFont="1" applyBorder="1">
      <alignment vertical="center"/>
    </xf>
    <xf numFmtId="0" fontId="9" fillId="0" borderId="81" xfId="0" applyFont="1" applyBorder="1">
      <alignment vertical="center"/>
    </xf>
    <xf numFmtId="0" fontId="4" fillId="0" borderId="81" xfId="0" applyFont="1" applyBorder="1" applyAlignment="1">
      <alignment vertical="center" shrinkToFit="1"/>
    </xf>
    <xf numFmtId="0" fontId="7" fillId="0" borderId="81" xfId="0" applyFont="1" applyBorder="1">
      <alignment vertical="center"/>
    </xf>
    <xf numFmtId="0" fontId="0" fillId="0" borderId="19" xfId="0" applyBorder="1">
      <alignment vertical="center"/>
    </xf>
    <xf numFmtId="0" fontId="0" fillId="0" borderId="68" xfId="0" applyBorder="1" applyAlignment="1">
      <alignment horizontal="center" vertical="center"/>
    </xf>
    <xf numFmtId="0" fontId="0" fillId="9" borderId="65" xfId="0" applyFill="1" applyBorder="1" applyAlignment="1">
      <alignment horizontal="center" vertical="center"/>
    </xf>
    <xf numFmtId="0" fontId="4" fillId="0" borderId="66" xfId="0" applyFont="1" applyBorder="1" applyAlignment="1">
      <alignment vertical="center" shrinkToFit="1"/>
    </xf>
    <xf numFmtId="0" fontId="0" fillId="0" borderId="66" xfId="0" applyBorder="1">
      <alignment vertical="center"/>
    </xf>
    <xf numFmtId="0" fontId="0" fillId="3" borderId="67" xfId="0" applyFill="1" applyBorder="1" applyAlignment="1">
      <alignment vertical="center" shrinkToFit="1"/>
    </xf>
    <xf numFmtId="0" fontId="23" fillId="3" borderId="67" xfId="0" applyFont="1" applyFill="1" applyBorder="1" applyAlignment="1">
      <alignment horizontal="center" vertical="center" shrinkToFit="1"/>
    </xf>
    <xf numFmtId="0" fontId="6" fillId="0" borderId="70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 shrinkToFit="1"/>
    </xf>
    <xf numFmtId="0" fontId="0" fillId="0" borderId="83" xfId="0" applyBorder="1" applyAlignment="1">
      <alignment horizontal="center" vertical="center"/>
    </xf>
    <xf numFmtId="0" fontId="3" fillId="2" borderId="75" xfId="0" applyFont="1" applyFill="1" applyBorder="1" applyAlignment="1">
      <alignment horizontal="center" vertical="center" shrinkToFit="1"/>
    </xf>
    <xf numFmtId="0" fontId="4" fillId="0" borderId="78" xfId="0" applyFont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3" fillId="0" borderId="66" xfId="0" applyFont="1" applyBorder="1" applyAlignment="1">
      <alignment vertical="center" shrinkToFit="1"/>
    </xf>
    <xf numFmtId="0" fontId="3" fillId="2" borderId="70" xfId="0" applyFont="1" applyFill="1" applyBorder="1" applyAlignment="1">
      <alignment horizontal="center" vertical="center" shrinkToFit="1"/>
    </xf>
    <xf numFmtId="0" fontId="6" fillId="0" borderId="67" xfId="0" applyFont="1" applyBorder="1" applyAlignment="1">
      <alignment horizontal="center" vertical="center" shrinkToFit="1"/>
    </xf>
    <xf numFmtId="0" fontId="3" fillId="2" borderId="64" xfId="0" applyFont="1" applyFill="1" applyBorder="1" applyAlignment="1">
      <alignment horizontal="center" vertical="center" shrinkToFit="1"/>
    </xf>
    <xf numFmtId="0" fontId="14" fillId="4" borderId="67" xfId="0" applyFont="1" applyFill="1" applyBorder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0" fontId="0" fillId="0" borderId="6" xfId="0" applyBorder="1">
      <alignment vertical="center"/>
    </xf>
    <xf numFmtId="176" fontId="0" fillId="0" borderId="9" xfId="0" applyNumberFormat="1" applyBorder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3" fillId="0" borderId="37" xfId="0" applyFont="1" applyBorder="1">
      <alignment vertical="center"/>
    </xf>
    <xf numFmtId="0" fontId="3" fillId="0" borderId="0" xfId="0" applyFont="1">
      <alignment vertical="center"/>
    </xf>
    <xf numFmtId="0" fontId="24" fillId="0" borderId="0" xfId="0" applyFont="1">
      <alignment vertical="center"/>
    </xf>
    <xf numFmtId="0" fontId="0" fillId="0" borderId="37" xfId="0" applyBorder="1">
      <alignment vertical="center"/>
    </xf>
    <xf numFmtId="9" fontId="0" fillId="0" borderId="0" xfId="1" applyFont="1" applyBorder="1">
      <alignment vertical="center"/>
    </xf>
    <xf numFmtId="0" fontId="0" fillId="0" borderId="53" xfId="0" applyBorder="1">
      <alignment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9" fontId="5" fillId="4" borderId="25" xfId="0" applyNumberFormat="1" applyFont="1" applyFill="1" applyBorder="1" applyAlignment="1">
      <alignment horizontal="center" vertical="center"/>
    </xf>
    <xf numFmtId="49" fontId="5" fillId="4" borderId="40" xfId="0" applyNumberFormat="1" applyFont="1" applyFill="1" applyBorder="1" applyAlignment="1">
      <alignment horizontal="center" vertical="center"/>
    </xf>
    <xf numFmtId="56" fontId="5" fillId="10" borderId="21" xfId="0" applyNumberFormat="1" applyFont="1" applyFill="1" applyBorder="1" applyAlignment="1">
      <alignment horizontal="center" vertical="center"/>
    </xf>
    <xf numFmtId="0" fontId="5" fillId="10" borderId="21" xfId="0" applyFont="1" applyFill="1" applyBorder="1" applyAlignment="1">
      <alignment horizontal="center" vertical="center"/>
    </xf>
    <xf numFmtId="49" fontId="0" fillId="8" borderId="25" xfId="0" applyNumberFormat="1" applyFill="1" applyBorder="1" applyAlignment="1">
      <alignment horizontal="center" vertical="center"/>
    </xf>
    <xf numFmtId="49" fontId="0" fillId="8" borderId="40" xfId="0" applyNumberForma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 shrinkToFit="1"/>
    </xf>
    <xf numFmtId="0" fontId="5" fillId="7" borderId="42" xfId="0" applyFont="1" applyFill="1" applyBorder="1" applyAlignment="1">
      <alignment horizontal="center" vertical="center" shrinkToFit="1"/>
    </xf>
    <xf numFmtId="0" fontId="0" fillId="2" borderId="24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66" xfId="0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 shrinkToFit="1"/>
    </xf>
    <xf numFmtId="0" fontId="0" fillId="8" borderId="23" xfId="0" applyFill="1" applyBorder="1" applyAlignment="1">
      <alignment horizontal="center" vertical="center" shrinkToFit="1"/>
    </xf>
    <xf numFmtId="0" fontId="5" fillId="7" borderId="25" xfId="0" applyFont="1" applyFill="1" applyBorder="1" applyAlignment="1">
      <alignment horizontal="center" vertical="center" shrinkToFit="1"/>
    </xf>
    <xf numFmtId="0" fontId="5" fillId="7" borderId="40" xfId="0" applyFont="1" applyFill="1" applyBorder="1" applyAlignment="1">
      <alignment horizontal="center" vertical="center" shrinkToFit="1"/>
    </xf>
    <xf numFmtId="0" fontId="0" fillId="2" borderId="25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5" fillId="7" borderId="21" xfId="0" applyFont="1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/>
    </xf>
    <xf numFmtId="0" fontId="0" fillId="2" borderId="6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 shrinkToFit="1"/>
    </xf>
    <xf numFmtId="0" fontId="0" fillId="8" borderId="65" xfId="0" applyFill="1" applyBorder="1" applyAlignment="1">
      <alignment horizontal="center" vertical="center" shrinkToFit="1"/>
    </xf>
    <xf numFmtId="0" fontId="7" fillId="2" borderId="25" xfId="0" applyFont="1" applyFill="1" applyBorder="1" applyAlignment="1">
      <alignment horizontal="center" vertical="center" shrinkToFit="1"/>
    </xf>
    <xf numFmtId="0" fontId="7" fillId="2" borderId="49" xfId="0" applyFont="1" applyFill="1" applyBorder="1" applyAlignment="1">
      <alignment horizontal="center" vertical="center" shrinkToFit="1"/>
    </xf>
    <xf numFmtId="0" fontId="7" fillId="3" borderId="24" xfId="0" applyFont="1" applyFill="1" applyBorder="1" applyAlignment="1">
      <alignment horizontal="center" vertical="center" shrinkToFit="1"/>
    </xf>
    <xf numFmtId="0" fontId="7" fillId="3" borderId="42" xfId="0" applyFont="1" applyFill="1" applyBorder="1" applyAlignment="1">
      <alignment horizontal="center" vertical="center" shrinkToFit="1"/>
    </xf>
    <xf numFmtId="0" fontId="6" fillId="4" borderId="24" xfId="0" applyFont="1" applyFill="1" applyBorder="1" applyAlignment="1">
      <alignment horizontal="center" vertical="center" shrinkToFit="1"/>
    </xf>
    <xf numFmtId="0" fontId="6" fillId="4" borderId="45" xfId="0" applyFont="1" applyFill="1" applyBorder="1" applyAlignment="1">
      <alignment horizontal="center" vertical="center" shrinkToFit="1"/>
    </xf>
    <xf numFmtId="0" fontId="5" fillId="4" borderId="29" xfId="0" applyFont="1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 shrinkToFit="1"/>
    </xf>
    <xf numFmtId="0" fontId="5" fillId="7" borderId="33" xfId="0" applyFont="1" applyFill="1" applyBorder="1" applyAlignment="1">
      <alignment horizontal="center" vertical="center" shrinkToFit="1"/>
    </xf>
    <xf numFmtId="0" fontId="5" fillId="7" borderId="39" xfId="0" applyFont="1" applyFill="1" applyBorder="1" applyAlignment="1">
      <alignment horizontal="center" vertical="center" shrinkToFit="1"/>
    </xf>
    <xf numFmtId="0" fontId="0" fillId="2" borderId="3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0" fillId="8" borderId="71" xfId="0" applyFill="1" applyBorder="1" applyAlignment="1">
      <alignment horizontal="center" vertical="center" shrinkToFit="1"/>
    </xf>
    <xf numFmtId="0" fontId="0" fillId="2" borderId="73" xfId="0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 shrinkToFit="1"/>
    </xf>
    <xf numFmtId="0" fontId="9" fillId="3" borderId="42" xfId="0" applyFont="1" applyFill="1" applyBorder="1" applyAlignment="1">
      <alignment horizontal="center" vertical="center" shrinkToFit="1"/>
    </xf>
    <xf numFmtId="0" fontId="9" fillId="3" borderId="45" xfId="0" applyFont="1" applyFill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5" fillId="7" borderId="66" xfId="0" applyFont="1" applyFill="1" applyBorder="1" applyAlignment="1">
      <alignment horizontal="center" vertical="center" shrinkToFit="1"/>
    </xf>
    <xf numFmtId="0" fontId="0" fillId="2" borderId="35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shrinkToFit="1"/>
    </xf>
    <xf numFmtId="0" fontId="0" fillId="3" borderId="24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12" borderId="23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 shrinkToFit="1"/>
    </xf>
    <xf numFmtId="0" fontId="3" fillId="8" borderId="65" xfId="0" applyFont="1" applyFill="1" applyBorder="1" applyAlignment="1">
      <alignment horizontal="center" vertical="center" shrinkToFit="1"/>
    </xf>
    <xf numFmtId="0" fontId="5" fillId="7" borderId="35" xfId="0" applyFont="1" applyFill="1" applyBorder="1" applyAlignment="1">
      <alignment horizontal="center" vertical="center" shrinkToFit="1"/>
    </xf>
    <xf numFmtId="0" fontId="5" fillId="7" borderId="44" xfId="0" applyFont="1" applyFill="1" applyBorder="1" applyAlignment="1">
      <alignment horizontal="center" vertical="center" shrinkToFit="1"/>
    </xf>
    <xf numFmtId="0" fontId="5" fillId="7" borderId="47" xfId="0" applyFont="1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 shrinkToFit="1"/>
    </xf>
    <xf numFmtId="0" fontId="9" fillId="3" borderId="47" xfId="0" applyFont="1" applyFill="1" applyBorder="1" applyAlignment="1">
      <alignment horizontal="center" vertical="center" shrinkToFit="1"/>
    </xf>
    <xf numFmtId="0" fontId="5" fillId="7" borderId="76" xfId="0" applyFont="1" applyFill="1" applyBorder="1" applyAlignment="1">
      <alignment horizontal="center" vertical="center" shrinkToFit="1"/>
    </xf>
    <xf numFmtId="0" fontId="5" fillId="4" borderId="2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 shrinkToFit="1"/>
    </xf>
    <xf numFmtId="0" fontId="5" fillId="7" borderId="64" xfId="0" applyFont="1" applyFill="1" applyBorder="1" applyAlignment="1">
      <alignment horizontal="center" vertical="center" shrinkToFit="1"/>
    </xf>
    <xf numFmtId="0" fontId="0" fillId="3" borderId="23" xfId="0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 shrinkToFit="1"/>
    </xf>
    <xf numFmtId="0" fontId="9" fillId="2" borderId="25" xfId="0" applyFont="1" applyFill="1" applyBorder="1" applyAlignment="1">
      <alignment horizontal="center" vertical="center" shrinkToFit="1"/>
    </xf>
    <xf numFmtId="0" fontId="9" fillId="2" borderId="59" xfId="0" applyFont="1" applyFill="1" applyBorder="1" applyAlignment="1">
      <alignment horizontal="center" vertical="center" shrinkToFit="1"/>
    </xf>
    <xf numFmtId="0" fontId="0" fillId="2" borderId="63" xfId="0" applyFill="1" applyBorder="1" applyAlignment="1">
      <alignment horizontal="center" vertical="center"/>
    </xf>
    <xf numFmtId="0" fontId="9" fillId="3" borderId="38" xfId="0" applyFont="1" applyFill="1" applyBorder="1" applyAlignment="1">
      <alignment horizontal="center" vertical="center" shrinkToFit="1"/>
    </xf>
    <xf numFmtId="0" fontId="9" fillId="2" borderId="49" xfId="0" applyFont="1" applyFill="1" applyBorder="1" applyAlignment="1">
      <alignment horizontal="center" vertical="center" shrinkToFit="1"/>
    </xf>
    <xf numFmtId="0" fontId="7" fillId="2" borderId="24" xfId="0" applyFont="1" applyFill="1" applyBorder="1" applyAlignment="1">
      <alignment horizontal="center" vertical="center" shrinkToFit="1"/>
    </xf>
    <xf numFmtId="0" fontId="7" fillId="2" borderId="45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 shrinkToFit="1"/>
    </xf>
    <xf numFmtId="0" fontId="5" fillId="4" borderId="29" xfId="0" applyFont="1" applyFill="1" applyBorder="1" applyAlignment="1">
      <alignment horizontal="center" vertical="center" shrinkToFit="1"/>
    </xf>
    <xf numFmtId="0" fontId="5" fillId="12" borderId="29" xfId="0" applyFont="1" applyFill="1" applyBorder="1" applyAlignment="1">
      <alignment horizontal="center" vertical="center"/>
    </xf>
    <xf numFmtId="56" fontId="6" fillId="10" borderId="29" xfId="0" applyNumberFormat="1" applyFont="1" applyFill="1" applyBorder="1" applyAlignment="1">
      <alignment horizontal="center" vertical="center"/>
    </xf>
    <xf numFmtId="0" fontId="6" fillId="10" borderId="29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 shrinkToFit="1"/>
    </xf>
    <xf numFmtId="0" fontId="3" fillId="8" borderId="71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5" fillId="7" borderId="73" xfId="0" applyFont="1" applyFill="1" applyBorder="1" applyAlignment="1">
      <alignment horizontal="center" vertical="center" shrinkToFit="1"/>
    </xf>
    <xf numFmtId="0" fontId="9" fillId="3" borderId="32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shrinkToFit="1"/>
    </xf>
    <xf numFmtId="0" fontId="0" fillId="3" borderId="3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shrinkToFit="1"/>
    </xf>
    <xf numFmtId="0" fontId="3" fillId="3" borderId="82" xfId="0" applyFont="1" applyFill="1" applyBorder="1" applyAlignment="1">
      <alignment horizontal="center" vertical="center"/>
    </xf>
    <xf numFmtId="49" fontId="5" fillId="12" borderId="24" xfId="0" applyNumberFormat="1" applyFont="1" applyFill="1" applyBorder="1" applyAlignment="1">
      <alignment horizontal="center" vertical="center" shrinkToFit="1"/>
    </xf>
    <xf numFmtId="49" fontId="5" fillId="12" borderId="42" xfId="0" applyNumberFormat="1" applyFont="1" applyFill="1" applyBorder="1" applyAlignment="1">
      <alignment horizontal="center" vertical="center" shrinkToFit="1"/>
    </xf>
    <xf numFmtId="49" fontId="5" fillId="12" borderId="45" xfId="0" applyNumberFormat="1" applyFont="1" applyFill="1" applyBorder="1" applyAlignment="1">
      <alignment horizontal="center" vertical="center" shrinkToFit="1"/>
    </xf>
    <xf numFmtId="0" fontId="5" fillId="10" borderId="6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shrinkToFit="1"/>
    </xf>
    <xf numFmtId="0" fontId="3" fillId="2" borderId="66" xfId="0" applyFont="1" applyFill="1" applyBorder="1" applyAlignment="1">
      <alignment horizontal="center" vertical="center" shrinkToFit="1"/>
    </xf>
    <xf numFmtId="0" fontId="7" fillId="2" borderId="24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 shrinkToFit="1"/>
    </xf>
    <xf numFmtId="0" fontId="5" fillId="4" borderId="67" xfId="0" applyFont="1" applyFill="1" applyBorder="1" applyAlignment="1">
      <alignment horizontal="center" vertical="center" shrinkToFit="1"/>
    </xf>
    <xf numFmtId="0" fontId="6" fillId="4" borderId="23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 shrinkToFit="1"/>
    </xf>
    <xf numFmtId="0" fontId="0" fillId="2" borderId="21" xfId="0" applyFill="1" applyBorder="1" applyAlignment="1">
      <alignment horizontal="center" vertical="center" shrinkToFit="1"/>
    </xf>
    <xf numFmtId="0" fontId="0" fillId="2" borderId="23" xfId="0" applyFill="1" applyBorder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shrinkToFit="1"/>
    </xf>
    <xf numFmtId="0" fontId="3" fillId="2" borderId="67" xfId="0" applyFont="1" applyFill="1" applyBorder="1" applyAlignment="1">
      <alignment horizontal="center" vertical="center" shrinkToFit="1"/>
    </xf>
    <xf numFmtId="0" fontId="5" fillId="7" borderId="38" xfId="0" applyFont="1" applyFill="1" applyBorder="1" applyAlignment="1">
      <alignment horizontal="center" vertical="center" shrinkToFit="1"/>
    </xf>
    <xf numFmtId="0" fontId="4" fillId="2" borderId="45" xfId="0" applyFont="1" applyFill="1" applyBorder="1" applyAlignment="1">
      <alignment horizontal="center" vertical="center" shrinkToFit="1"/>
    </xf>
    <xf numFmtId="0" fontId="6" fillId="4" borderId="22" xfId="0" applyFont="1" applyFill="1" applyBorder="1" applyAlignment="1">
      <alignment horizontal="center" vertical="center" shrinkToFit="1"/>
    </xf>
    <xf numFmtId="0" fontId="7" fillId="2" borderId="33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73" xfId="0" applyFont="1" applyFill="1" applyBorder="1" applyAlignment="1">
      <alignment horizontal="center" vertical="center" shrinkToFit="1"/>
    </xf>
    <xf numFmtId="0" fontId="6" fillId="4" borderId="29" xfId="0" applyFont="1" applyFill="1" applyBorder="1" applyAlignment="1">
      <alignment horizontal="center" vertical="center"/>
    </xf>
    <xf numFmtId="0" fontId="5" fillId="4" borderId="70" xfId="0" applyFont="1" applyFill="1" applyBorder="1" applyAlignment="1">
      <alignment horizontal="center" vertical="center" shrinkToFit="1"/>
    </xf>
    <xf numFmtId="49" fontId="5" fillId="4" borderId="61" xfId="0" applyNumberFormat="1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shrinkToFit="1"/>
    </xf>
    <xf numFmtId="0" fontId="3" fillId="3" borderId="78" xfId="0" applyFont="1" applyFill="1" applyBorder="1" applyAlignment="1">
      <alignment horizontal="center" vertical="center" shrinkToFit="1"/>
    </xf>
    <xf numFmtId="0" fontId="5" fillId="12" borderId="24" xfId="0" applyFont="1" applyFill="1" applyBorder="1" applyAlignment="1">
      <alignment horizontal="center" vertical="center" shrinkToFit="1"/>
    </xf>
    <xf numFmtId="0" fontId="5" fillId="12" borderId="42" xfId="0" applyFont="1" applyFill="1" applyBorder="1" applyAlignment="1">
      <alignment horizontal="center" vertical="center" shrinkToFit="1"/>
    </xf>
    <xf numFmtId="0" fontId="5" fillId="12" borderId="45" xfId="0" applyFont="1" applyFill="1" applyBorder="1" applyAlignment="1">
      <alignment horizontal="center" vertical="center" shrinkToFit="1"/>
    </xf>
    <xf numFmtId="0" fontId="5" fillId="12" borderId="42" xfId="0" applyFont="1" applyFill="1" applyBorder="1" applyAlignment="1">
      <alignment horizontal="center" vertical="center"/>
    </xf>
    <xf numFmtId="0" fontId="5" fillId="12" borderId="45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0" fillId="2" borderId="76" xfId="0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 shrinkToFit="1"/>
    </xf>
    <xf numFmtId="0" fontId="5" fillId="12" borderId="55" xfId="0" applyFont="1" applyFill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/>
    </xf>
    <xf numFmtId="0" fontId="5" fillId="12" borderId="55" xfId="0" applyFont="1" applyFill="1" applyBorder="1" applyAlignment="1">
      <alignment horizontal="center" vertical="center"/>
    </xf>
    <xf numFmtId="0" fontId="5" fillId="12" borderId="51" xfId="0" applyFont="1" applyFill="1" applyBorder="1" applyAlignment="1">
      <alignment horizontal="center" vertical="center"/>
    </xf>
    <xf numFmtId="0" fontId="5" fillId="4" borderId="65" xfId="0" applyFont="1" applyFill="1" applyBorder="1" applyAlignment="1">
      <alignment horizontal="center" vertical="center" shrinkToFit="1"/>
    </xf>
    <xf numFmtId="0" fontId="5" fillId="7" borderId="21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60" xfId="0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shrinkToFit="1"/>
    </xf>
    <xf numFmtId="0" fontId="5" fillId="4" borderId="24" xfId="0" applyFont="1" applyFill="1" applyBorder="1" applyAlignment="1">
      <alignment horizontal="center" vertical="center" shrinkToFit="1"/>
    </xf>
    <xf numFmtId="0" fontId="5" fillId="4" borderId="45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15" fillId="2" borderId="40" xfId="0" applyFont="1" applyFill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shrinkToFit="1"/>
    </xf>
    <xf numFmtId="0" fontId="0" fillId="8" borderId="51" xfId="0" applyFill="1" applyBorder="1" applyAlignment="1">
      <alignment horizontal="center" vertical="center" shrinkToFit="1"/>
    </xf>
    <xf numFmtId="0" fontId="0" fillId="8" borderId="41" xfId="0" applyFill="1" applyBorder="1" applyAlignment="1">
      <alignment horizontal="center" vertical="center" shrinkToFit="1"/>
    </xf>
    <xf numFmtId="0" fontId="0" fillId="8" borderId="55" xfId="0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45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shrinkToFit="1"/>
    </xf>
    <xf numFmtId="0" fontId="7" fillId="8" borderId="51" xfId="0" applyFont="1" applyFill="1" applyBorder="1" applyAlignment="1">
      <alignment horizontal="center" vertical="center" shrinkToFit="1"/>
    </xf>
    <xf numFmtId="0" fontId="14" fillId="4" borderId="29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45" xfId="0" applyFont="1" applyFill="1" applyBorder="1" applyAlignment="1">
      <alignment horizontal="center" vertical="center" shrinkToFit="1"/>
    </xf>
    <xf numFmtId="0" fontId="14" fillId="4" borderId="34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5" fillId="7" borderId="49" xfId="0" applyFont="1" applyFill="1" applyBorder="1" applyAlignment="1">
      <alignment horizontal="center" vertical="center" shrinkToFit="1"/>
    </xf>
    <xf numFmtId="0" fontId="7" fillId="6" borderId="25" xfId="0" applyFont="1" applyFill="1" applyBorder="1" applyAlignment="1">
      <alignment horizontal="center" vertical="center" shrinkToFit="1"/>
    </xf>
    <xf numFmtId="0" fontId="7" fillId="6" borderId="49" xfId="0" applyFont="1" applyFill="1" applyBorder="1" applyAlignment="1">
      <alignment horizontal="center" vertical="center" shrinkToFit="1"/>
    </xf>
    <xf numFmtId="0" fontId="7" fillId="3" borderId="45" xfId="0" applyFont="1" applyFill="1" applyBorder="1" applyAlignment="1">
      <alignment horizontal="center" vertical="center" shrinkToFit="1"/>
    </xf>
    <xf numFmtId="0" fontId="4" fillId="4" borderId="24" xfId="0" applyFont="1" applyFill="1" applyBorder="1" applyAlignment="1">
      <alignment horizontal="center" vertical="center" shrinkToFit="1"/>
    </xf>
    <xf numFmtId="0" fontId="4" fillId="4" borderId="45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 textRotation="255" wrapText="1"/>
    </xf>
    <xf numFmtId="0" fontId="4" fillId="5" borderId="27" xfId="0" applyFont="1" applyFill="1" applyBorder="1" applyAlignment="1">
      <alignment horizontal="center" vertical="center" textRotation="255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 textRotation="255" wrapText="1" shrinkToFit="1"/>
    </xf>
    <xf numFmtId="0" fontId="4" fillId="5" borderId="27" xfId="0" applyFont="1" applyFill="1" applyBorder="1" applyAlignment="1">
      <alignment horizontal="center" vertical="center" textRotation="255" shrinkToFit="1"/>
    </xf>
    <xf numFmtId="0" fontId="4" fillId="5" borderId="28" xfId="0" applyFont="1" applyFill="1" applyBorder="1" applyAlignment="1">
      <alignment horizontal="center" vertical="center" textRotation="255" shrinkToFi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56" fontId="14" fillId="10" borderId="23" xfId="0" applyNumberFormat="1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 shrinkToFit="1"/>
    </xf>
    <xf numFmtId="0" fontId="6" fillId="4" borderId="51" xfId="0" applyFont="1" applyFill="1" applyBorder="1" applyAlignment="1">
      <alignment horizontal="center" vertical="center" shrinkToFit="1"/>
    </xf>
    <xf numFmtId="0" fontId="4" fillId="5" borderId="78" xfId="0" applyFont="1" applyFill="1" applyBorder="1" applyAlignment="1">
      <alignment horizontal="center" vertical="center" textRotation="255" wrapText="1" shrinkToFit="1"/>
    </xf>
    <xf numFmtId="0" fontId="4" fillId="5" borderId="79" xfId="0" applyFont="1" applyFill="1" applyBorder="1" applyAlignment="1">
      <alignment horizontal="center" vertical="center" textRotation="255" wrapText="1" shrinkToFit="1"/>
    </xf>
    <xf numFmtId="0" fontId="4" fillId="5" borderId="69" xfId="0" applyFont="1" applyFill="1" applyBorder="1" applyAlignment="1">
      <alignment horizontal="center" vertical="center" textRotation="255" wrapText="1" shrinkToFit="1"/>
    </xf>
    <xf numFmtId="0" fontId="4" fillId="5" borderId="36" xfId="0" applyFont="1" applyFill="1" applyBorder="1" applyAlignment="1">
      <alignment horizontal="center" vertical="center" textRotation="255" wrapText="1" shrinkToFit="1"/>
    </xf>
    <xf numFmtId="0" fontId="4" fillId="5" borderId="27" xfId="0" applyFont="1" applyFill="1" applyBorder="1" applyAlignment="1">
      <alignment horizontal="center" vertical="center" textRotation="255" wrapText="1" shrinkToFit="1"/>
    </xf>
    <xf numFmtId="0" fontId="4" fillId="5" borderId="28" xfId="0" applyFont="1" applyFill="1" applyBorder="1" applyAlignment="1">
      <alignment horizontal="center" vertical="center" textRotation="255" wrapText="1" shrinkToFit="1"/>
    </xf>
    <xf numFmtId="0" fontId="13" fillId="11" borderId="56" xfId="0" applyFont="1" applyFill="1" applyBorder="1" applyAlignment="1">
      <alignment horizontal="center" vertical="center" textRotation="255" shrinkToFit="1"/>
    </xf>
    <xf numFmtId="0" fontId="5" fillId="7" borderId="48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1" xfId="0" applyFont="1" applyFill="1" applyBorder="1" applyAlignment="1">
      <alignment horizontal="center" vertical="center"/>
    </xf>
    <xf numFmtId="0" fontId="4" fillId="5" borderId="5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50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62" xfId="0" applyFont="1" applyFill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 textRotation="255"/>
    </xf>
    <xf numFmtId="0" fontId="4" fillId="5" borderId="27" xfId="0" applyFont="1" applyFill="1" applyBorder="1" applyAlignment="1">
      <alignment horizontal="center" vertical="center" textRotation="255"/>
    </xf>
    <xf numFmtId="0" fontId="4" fillId="5" borderId="28" xfId="0" applyFont="1" applyFill="1" applyBorder="1" applyAlignment="1">
      <alignment horizontal="center" vertical="center" textRotation="255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colors>
    <mruColors>
      <color rgb="FF90D7F0"/>
      <color rgb="FFFFA6A6"/>
      <color rgb="FFE78B8B"/>
      <color rgb="FF6079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alc">
  <a:themeElements>
    <a:clrScheme name="Calc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c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alc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/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Y261"/>
  <sheetViews>
    <sheetView tabSelected="1" view="pageBreakPreview" zoomScaleSheetLayoutView="100" workbookViewId="0">
      <pane ySplit="3" topLeftCell="A4" activePane="bottomLeft" state="frozen"/>
      <selection pane="bottomLeft" activeCell="F16" sqref="F16"/>
    </sheetView>
  </sheetViews>
  <sheetFormatPr defaultRowHeight="13" x14ac:dyDescent="0.2"/>
  <cols>
    <col min="2" max="2" width="9.6328125" style="1" customWidth="1"/>
    <col min="3" max="33" width="5.08984375" style="1" customWidth="1"/>
    <col min="35" max="35" width="5.08984375" style="2" customWidth="1"/>
    <col min="36" max="36" width="11" style="1" customWidth="1"/>
    <col min="37" max="37" width="5.26953125" style="1" customWidth="1"/>
    <col min="38" max="42" width="5.08984375" customWidth="1"/>
    <col min="43" max="43" width="5.453125" style="3" customWidth="1"/>
    <col min="51" max="51" width="8.7265625" customWidth="1"/>
  </cols>
  <sheetData>
    <row r="2" spans="2:51" x14ac:dyDescent="0.2">
      <c r="B2"/>
      <c r="C2" s="278" t="s">
        <v>97</v>
      </c>
      <c r="D2" s="278"/>
      <c r="E2" s="278"/>
      <c r="F2" s="278"/>
      <c r="I2" s="99"/>
      <c r="J2" s="1" t="s">
        <v>19</v>
      </c>
      <c r="L2" s="118"/>
      <c r="M2" s="1" t="s">
        <v>69</v>
      </c>
      <c r="O2" s="134"/>
      <c r="P2" s="1" t="s">
        <v>53</v>
      </c>
      <c r="R2" s="142"/>
      <c r="S2" s="1" t="s">
        <v>58</v>
      </c>
      <c r="U2" s="159"/>
      <c r="V2" s="1" t="s">
        <v>64</v>
      </c>
      <c r="X2" s="166"/>
      <c r="Y2" s="1" t="s">
        <v>65</v>
      </c>
      <c r="AA2" t="s">
        <v>94</v>
      </c>
      <c r="AK2" s="279" t="s">
        <v>139</v>
      </c>
      <c r="AL2" s="280"/>
      <c r="AM2" s="280"/>
      <c r="AN2" s="280"/>
      <c r="AO2" s="280"/>
      <c r="AP2" s="280"/>
      <c r="AQ2" s="281"/>
      <c r="AR2" s="279" t="s">
        <v>64</v>
      </c>
      <c r="AS2" s="280"/>
      <c r="AT2" s="280"/>
      <c r="AU2" s="280"/>
      <c r="AV2" s="280"/>
      <c r="AW2" s="281"/>
      <c r="AX2" t="s">
        <v>143</v>
      </c>
      <c r="AY2" t="s">
        <v>145</v>
      </c>
    </row>
    <row r="3" spans="2:51" x14ac:dyDescent="0.2">
      <c r="AK3" s="1" t="s">
        <v>83</v>
      </c>
      <c r="AL3" s="270" t="s">
        <v>46</v>
      </c>
      <c r="AM3" s="270" t="s">
        <v>89</v>
      </c>
      <c r="AN3" s="1" t="s">
        <v>108</v>
      </c>
      <c r="AO3" s="1" t="s">
        <v>109</v>
      </c>
      <c r="AR3" s="1" t="s">
        <v>83</v>
      </c>
      <c r="AS3" s="270" t="s">
        <v>46</v>
      </c>
      <c r="AT3" s="270" t="s">
        <v>89</v>
      </c>
      <c r="AU3" s="1" t="s">
        <v>109</v>
      </c>
      <c r="AV3" s="1"/>
    </row>
    <row r="4" spans="2:51" x14ac:dyDescent="0.2">
      <c r="B4" s="515" t="s">
        <v>119</v>
      </c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  <c r="K4" s="8">
        <v>9</v>
      </c>
      <c r="L4" s="45">
        <v>10</v>
      </c>
      <c r="M4" s="45">
        <v>11</v>
      </c>
      <c r="N4" s="45">
        <v>12</v>
      </c>
      <c r="O4" s="45">
        <v>13</v>
      </c>
      <c r="P4" s="45">
        <v>14</v>
      </c>
      <c r="Q4" s="8">
        <v>15</v>
      </c>
      <c r="R4" s="8">
        <v>16</v>
      </c>
      <c r="S4" s="8">
        <v>17</v>
      </c>
      <c r="T4" s="8">
        <v>18</v>
      </c>
      <c r="U4" s="8">
        <v>19</v>
      </c>
      <c r="V4" s="8">
        <v>20</v>
      </c>
      <c r="W4" s="8">
        <v>21</v>
      </c>
      <c r="X4" s="8">
        <v>22</v>
      </c>
      <c r="Y4" s="8">
        <v>23</v>
      </c>
      <c r="Z4" s="45">
        <v>24</v>
      </c>
      <c r="AA4" s="8">
        <v>25</v>
      </c>
      <c r="AB4" s="8">
        <v>26</v>
      </c>
      <c r="AC4" s="8">
        <v>27</v>
      </c>
      <c r="AD4" s="8">
        <v>28</v>
      </c>
      <c r="AE4" s="144">
        <v>29</v>
      </c>
      <c r="AF4" s="197">
        <v>30</v>
      </c>
      <c r="AG4" s="6"/>
      <c r="AI4" s="266"/>
      <c r="AJ4" s="1" t="s">
        <v>13</v>
      </c>
      <c r="AK4" s="268">
        <v>22</v>
      </c>
      <c r="AL4" s="272">
        <v>19</v>
      </c>
      <c r="AM4">
        <v>0</v>
      </c>
      <c r="AO4">
        <f t="shared" ref="AO4:AO15" si="0">SUM(AL4:AN4)</f>
        <v>19</v>
      </c>
      <c r="AQ4" s="3">
        <f t="shared" ref="AQ4:AQ15" si="1">+AO4/AK4</f>
        <v>0.86363636363636365</v>
      </c>
      <c r="AR4" s="272">
        <v>15</v>
      </c>
      <c r="AS4" s="272">
        <v>15</v>
      </c>
      <c r="AT4">
        <v>0</v>
      </c>
      <c r="AU4">
        <f t="shared" ref="AU4:AU15" si="2">AS4+AT4</f>
        <v>15</v>
      </c>
      <c r="AW4" s="3">
        <f>AU4/AR4</f>
        <v>1</v>
      </c>
      <c r="AX4">
        <f t="shared" ref="AX4:AX15" si="3">AO4+AU4</f>
        <v>34</v>
      </c>
      <c r="AY4" s="3">
        <f t="shared" ref="AY4:AY15" si="4">AX4/(AK4+AR4)</f>
        <v>0.91891891891891897</v>
      </c>
    </row>
    <row r="5" spans="2:51" x14ac:dyDescent="0.2">
      <c r="B5" s="516"/>
      <c r="C5" s="9" t="s">
        <v>21</v>
      </c>
      <c r="D5" s="9" t="s">
        <v>8</v>
      </c>
      <c r="E5" s="9" t="s">
        <v>29</v>
      </c>
      <c r="F5" s="52" t="s">
        <v>30</v>
      </c>
      <c r="G5" s="52" t="s">
        <v>32</v>
      </c>
      <c r="H5" s="9" t="s">
        <v>2</v>
      </c>
      <c r="I5" s="9" t="s">
        <v>37</v>
      </c>
      <c r="J5" s="9" t="s">
        <v>21</v>
      </c>
      <c r="K5" s="9" t="s">
        <v>8</v>
      </c>
      <c r="L5" s="9" t="s">
        <v>29</v>
      </c>
      <c r="M5" s="52" t="s">
        <v>30</v>
      </c>
      <c r="N5" s="52" t="s">
        <v>32</v>
      </c>
      <c r="O5" s="9" t="s">
        <v>2</v>
      </c>
      <c r="P5" s="9" t="s">
        <v>37</v>
      </c>
      <c r="Q5" s="9" t="s">
        <v>21</v>
      </c>
      <c r="R5" s="9" t="s">
        <v>8</v>
      </c>
      <c r="S5" s="9" t="s">
        <v>29</v>
      </c>
      <c r="T5" s="52" t="s">
        <v>30</v>
      </c>
      <c r="U5" s="52" t="s">
        <v>32</v>
      </c>
      <c r="V5" s="9" t="s">
        <v>2</v>
      </c>
      <c r="W5" s="9" t="s">
        <v>37</v>
      </c>
      <c r="X5" s="9" t="s">
        <v>21</v>
      </c>
      <c r="Y5" s="23" t="s">
        <v>8</v>
      </c>
      <c r="Z5" s="9" t="s">
        <v>29</v>
      </c>
      <c r="AA5" s="52" t="s">
        <v>30</v>
      </c>
      <c r="AB5" s="52" t="s">
        <v>32</v>
      </c>
      <c r="AC5" s="23" t="s">
        <v>2</v>
      </c>
      <c r="AD5" s="9" t="s">
        <v>37</v>
      </c>
      <c r="AE5" s="137" t="s">
        <v>152</v>
      </c>
      <c r="AF5" s="198" t="s">
        <v>5</v>
      </c>
      <c r="AG5" s="6"/>
      <c r="AJ5" s="1" t="s">
        <v>38</v>
      </c>
      <c r="AK5" s="268">
        <v>22</v>
      </c>
      <c r="AL5" s="272">
        <v>19</v>
      </c>
      <c r="AM5" s="272">
        <v>0</v>
      </c>
      <c r="AN5" s="272"/>
      <c r="AO5" s="272">
        <f t="shared" si="0"/>
        <v>19</v>
      </c>
      <c r="AQ5" s="3">
        <f t="shared" si="1"/>
        <v>0.86363636363636365</v>
      </c>
      <c r="AR5" s="272">
        <v>0</v>
      </c>
      <c r="AS5" s="272">
        <v>0</v>
      </c>
      <c r="AT5">
        <v>0</v>
      </c>
      <c r="AU5">
        <f t="shared" si="2"/>
        <v>0</v>
      </c>
      <c r="AW5" s="277" t="s">
        <v>4</v>
      </c>
      <c r="AX5">
        <f t="shared" si="3"/>
        <v>19</v>
      </c>
      <c r="AY5" s="3">
        <f t="shared" si="4"/>
        <v>0.86363636363636365</v>
      </c>
    </row>
    <row r="6" spans="2:51" x14ac:dyDescent="0.2">
      <c r="B6" s="558" t="s">
        <v>71</v>
      </c>
      <c r="C6" s="8"/>
      <c r="D6" s="282" t="s">
        <v>127</v>
      </c>
      <c r="E6" s="283"/>
      <c r="F6" s="283"/>
      <c r="G6" s="8"/>
      <c r="H6" s="8"/>
      <c r="I6" s="284" t="s">
        <v>7</v>
      </c>
      <c r="J6" s="285"/>
      <c r="K6" s="285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286" t="s">
        <v>148</v>
      </c>
      <c r="Z6" s="287"/>
      <c r="AA6" s="287"/>
      <c r="AB6" s="8"/>
      <c r="AC6" s="8"/>
      <c r="AD6" s="288" t="s">
        <v>162</v>
      </c>
      <c r="AE6" s="288"/>
      <c r="AF6" s="288"/>
      <c r="AG6" s="233"/>
      <c r="AJ6" s="35" t="s">
        <v>42</v>
      </c>
      <c r="AK6" s="267">
        <v>9</v>
      </c>
      <c r="AL6" s="271">
        <v>6</v>
      </c>
      <c r="AM6" s="271">
        <v>0</v>
      </c>
      <c r="AN6" s="271"/>
      <c r="AO6" s="271">
        <f t="shared" si="0"/>
        <v>6</v>
      </c>
      <c r="AP6" s="274">
        <f>SUM(AO4:AO6)</f>
        <v>44</v>
      </c>
      <c r="AQ6" s="3">
        <f t="shared" si="1"/>
        <v>0.66666666666666663</v>
      </c>
      <c r="AR6" s="271">
        <v>6</v>
      </c>
      <c r="AS6" s="271">
        <v>6</v>
      </c>
      <c r="AT6" s="274">
        <v>0</v>
      </c>
      <c r="AU6" s="274">
        <f t="shared" si="2"/>
        <v>6</v>
      </c>
      <c r="AV6" s="274">
        <f>SUM(AU4:AU6)</f>
        <v>21</v>
      </c>
      <c r="AW6" s="3">
        <f t="shared" ref="AW6:AW15" si="5">AU6/AR6</f>
        <v>1</v>
      </c>
      <c r="AX6">
        <f t="shared" si="3"/>
        <v>12</v>
      </c>
      <c r="AY6" s="3">
        <f t="shared" si="4"/>
        <v>0.8</v>
      </c>
    </row>
    <row r="7" spans="2:51" x14ac:dyDescent="0.2">
      <c r="B7" s="523"/>
      <c r="C7" s="10"/>
      <c r="D7" s="289" t="s">
        <v>154</v>
      </c>
      <c r="E7" s="290"/>
      <c r="F7" s="290"/>
      <c r="G7" s="290"/>
      <c r="H7" s="291" t="s">
        <v>6</v>
      </c>
      <c r="I7" s="292"/>
      <c r="J7" s="293"/>
      <c r="K7" s="289" t="s">
        <v>137</v>
      </c>
      <c r="L7" s="290"/>
      <c r="M7" s="290"/>
      <c r="N7" s="290"/>
      <c r="O7" s="10"/>
      <c r="P7" s="291" t="s">
        <v>0</v>
      </c>
      <c r="Q7" s="292"/>
      <c r="R7" s="293"/>
      <c r="S7" s="10"/>
      <c r="T7" s="289" t="s">
        <v>121</v>
      </c>
      <c r="U7" s="290"/>
      <c r="V7" s="290"/>
      <c r="W7" s="290"/>
      <c r="X7" s="10"/>
      <c r="Y7" s="289" t="s">
        <v>142</v>
      </c>
      <c r="Z7" s="290"/>
      <c r="AA7" s="290"/>
      <c r="AB7" s="290"/>
      <c r="AC7" s="10"/>
      <c r="AD7" s="291" t="s">
        <v>161</v>
      </c>
      <c r="AE7" s="292"/>
      <c r="AF7" s="294"/>
      <c r="AG7" s="234"/>
      <c r="AJ7" s="1" t="s">
        <v>79</v>
      </c>
      <c r="AK7" s="268">
        <v>15</v>
      </c>
      <c r="AL7" s="272">
        <v>15</v>
      </c>
      <c r="AM7" s="272">
        <v>0</v>
      </c>
      <c r="AN7" s="272"/>
      <c r="AO7" s="272">
        <f t="shared" si="0"/>
        <v>15</v>
      </c>
      <c r="AP7" s="273"/>
      <c r="AQ7" s="3">
        <f t="shared" si="1"/>
        <v>1</v>
      </c>
      <c r="AR7" s="272">
        <v>12</v>
      </c>
      <c r="AS7" s="272">
        <v>12</v>
      </c>
      <c r="AT7">
        <v>0</v>
      </c>
      <c r="AU7">
        <f t="shared" si="2"/>
        <v>12</v>
      </c>
      <c r="AW7" s="3">
        <f t="shared" si="5"/>
        <v>1</v>
      </c>
      <c r="AX7">
        <f t="shared" si="3"/>
        <v>27</v>
      </c>
      <c r="AY7" s="3">
        <f t="shared" si="4"/>
        <v>1</v>
      </c>
    </row>
    <row r="8" spans="2:51" x14ac:dyDescent="0.2">
      <c r="B8" s="523"/>
      <c r="C8" s="291" t="s">
        <v>3</v>
      </c>
      <c r="D8" s="292"/>
      <c r="E8" s="293"/>
      <c r="F8" s="10"/>
      <c r="G8" s="291" t="s">
        <v>77</v>
      </c>
      <c r="H8" s="292"/>
      <c r="I8" s="293"/>
      <c r="J8" s="291" t="s">
        <v>160</v>
      </c>
      <c r="K8" s="292"/>
      <c r="L8" s="293"/>
      <c r="M8" s="10"/>
      <c r="N8" s="291" t="s">
        <v>51</v>
      </c>
      <c r="O8" s="292"/>
      <c r="P8" s="293"/>
      <c r="Q8" s="291" t="s">
        <v>157</v>
      </c>
      <c r="R8" s="292"/>
      <c r="S8" s="293"/>
      <c r="T8" s="291" t="s">
        <v>199</v>
      </c>
      <c r="U8" s="292"/>
      <c r="V8" s="293"/>
      <c r="W8" s="10"/>
      <c r="X8" s="291" t="s">
        <v>34</v>
      </c>
      <c r="Y8" s="292"/>
      <c r="Z8" s="293"/>
      <c r="AA8" s="10"/>
      <c r="AB8" s="291" t="s">
        <v>107</v>
      </c>
      <c r="AC8" s="292"/>
      <c r="AD8" s="293"/>
      <c r="AE8" s="164"/>
      <c r="AF8" s="199"/>
      <c r="AG8" s="6"/>
      <c r="AJ8" s="1" t="s">
        <v>34</v>
      </c>
      <c r="AK8" s="268">
        <v>19</v>
      </c>
      <c r="AL8" s="272">
        <v>16</v>
      </c>
      <c r="AM8" s="272">
        <v>0</v>
      </c>
      <c r="AN8" s="272"/>
      <c r="AO8" s="272">
        <f t="shared" si="0"/>
        <v>16</v>
      </c>
      <c r="AP8" s="273"/>
      <c r="AQ8" s="3">
        <f t="shared" si="1"/>
        <v>0.84210526315789469</v>
      </c>
      <c r="AR8" s="272">
        <v>6</v>
      </c>
      <c r="AS8" s="272">
        <v>3</v>
      </c>
      <c r="AT8">
        <v>0</v>
      </c>
      <c r="AU8">
        <f t="shared" si="2"/>
        <v>3</v>
      </c>
      <c r="AW8" s="3">
        <f t="shared" si="5"/>
        <v>0.5</v>
      </c>
      <c r="AX8">
        <f t="shared" si="3"/>
        <v>19</v>
      </c>
      <c r="AY8" s="3">
        <f t="shared" si="4"/>
        <v>0.76</v>
      </c>
    </row>
    <row r="9" spans="2:51" x14ac:dyDescent="0.2">
      <c r="B9" s="523"/>
      <c r="C9" s="295" t="s">
        <v>201</v>
      </c>
      <c r="D9" s="296"/>
      <c r="E9" s="297"/>
      <c r="F9" s="10"/>
      <c r="G9" s="10"/>
      <c r="H9" s="10"/>
      <c r="I9" s="10"/>
      <c r="J9" s="10"/>
      <c r="K9" s="295" t="s">
        <v>62</v>
      </c>
      <c r="L9" s="296"/>
      <c r="M9" s="297"/>
      <c r="N9" s="10"/>
      <c r="O9" s="295" t="s">
        <v>160</v>
      </c>
      <c r="P9" s="296"/>
      <c r="Q9" s="297"/>
      <c r="R9" s="10"/>
      <c r="S9" s="295" t="s">
        <v>198</v>
      </c>
      <c r="T9" s="296"/>
      <c r="U9" s="297"/>
      <c r="V9" s="295" t="s">
        <v>115</v>
      </c>
      <c r="W9" s="296"/>
      <c r="X9" s="297"/>
      <c r="Y9" s="295" t="s">
        <v>132</v>
      </c>
      <c r="Z9" s="296"/>
      <c r="AA9" s="297"/>
      <c r="AB9" s="10"/>
      <c r="AC9" s="291" t="s">
        <v>86</v>
      </c>
      <c r="AD9" s="292"/>
      <c r="AE9" s="293"/>
      <c r="AF9" s="200" t="s">
        <v>212</v>
      </c>
      <c r="AG9" s="6"/>
      <c r="AJ9" s="1" t="s">
        <v>20</v>
      </c>
      <c r="AK9" s="268">
        <v>13</v>
      </c>
      <c r="AL9" s="272">
        <v>10</v>
      </c>
      <c r="AM9" s="272">
        <v>0</v>
      </c>
      <c r="AN9" s="272"/>
      <c r="AO9" s="272">
        <f t="shared" si="0"/>
        <v>10</v>
      </c>
      <c r="AP9" s="273"/>
      <c r="AQ9" s="3">
        <f t="shared" si="1"/>
        <v>0.76923076923076927</v>
      </c>
      <c r="AR9" s="272">
        <v>3</v>
      </c>
      <c r="AS9" s="272">
        <v>3</v>
      </c>
      <c r="AT9">
        <v>0</v>
      </c>
      <c r="AU9">
        <f t="shared" si="2"/>
        <v>3</v>
      </c>
      <c r="AW9" s="3">
        <f t="shared" si="5"/>
        <v>1</v>
      </c>
      <c r="AX9">
        <f t="shared" si="3"/>
        <v>13</v>
      </c>
      <c r="AY9" s="3">
        <f t="shared" si="4"/>
        <v>0.8125</v>
      </c>
    </row>
    <row r="10" spans="2:51" x14ac:dyDescent="0.2">
      <c r="B10" s="523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64"/>
      <c r="X10" s="10"/>
      <c r="Y10" s="10"/>
      <c r="Z10" s="10"/>
      <c r="AA10" s="10"/>
      <c r="AB10" s="10"/>
      <c r="AC10" s="10"/>
      <c r="AD10" s="10"/>
      <c r="AE10" s="10"/>
      <c r="AF10" s="517" t="s">
        <v>196</v>
      </c>
      <c r="AG10" s="234"/>
      <c r="AJ10" s="1" t="s">
        <v>49</v>
      </c>
      <c r="AK10" s="268">
        <v>10</v>
      </c>
      <c r="AL10" s="272">
        <v>10</v>
      </c>
      <c r="AM10" s="272">
        <v>0</v>
      </c>
      <c r="AN10" s="272"/>
      <c r="AO10" s="272">
        <f t="shared" si="0"/>
        <v>10</v>
      </c>
      <c r="AP10" s="273"/>
      <c r="AQ10" s="3">
        <f t="shared" si="1"/>
        <v>1</v>
      </c>
      <c r="AR10" s="272">
        <v>3</v>
      </c>
      <c r="AS10" s="272">
        <v>3</v>
      </c>
      <c r="AT10">
        <v>0</v>
      </c>
      <c r="AU10">
        <f t="shared" si="2"/>
        <v>3</v>
      </c>
      <c r="AW10" s="3">
        <f t="shared" si="5"/>
        <v>1</v>
      </c>
      <c r="AX10">
        <f t="shared" si="3"/>
        <v>13</v>
      </c>
      <c r="AY10" s="3">
        <f t="shared" si="4"/>
        <v>1</v>
      </c>
    </row>
    <row r="11" spans="2:51" x14ac:dyDescent="0.2">
      <c r="B11" s="523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93"/>
      <c r="AA11" s="10"/>
      <c r="AB11" s="10"/>
      <c r="AC11" s="10"/>
      <c r="AD11" s="10"/>
      <c r="AE11" s="10"/>
      <c r="AF11" s="518"/>
      <c r="AG11" s="234"/>
      <c r="AJ11" s="1" t="s">
        <v>86</v>
      </c>
      <c r="AK11" s="268">
        <v>9</v>
      </c>
      <c r="AL11" s="272">
        <v>9</v>
      </c>
      <c r="AM11" s="272">
        <v>0</v>
      </c>
      <c r="AN11" s="272"/>
      <c r="AO11" s="272">
        <f t="shared" si="0"/>
        <v>9</v>
      </c>
      <c r="AP11" s="273"/>
      <c r="AQ11" s="3">
        <f t="shared" si="1"/>
        <v>1</v>
      </c>
      <c r="AR11" s="272">
        <v>3</v>
      </c>
      <c r="AS11" s="272">
        <v>3</v>
      </c>
      <c r="AT11">
        <v>0</v>
      </c>
      <c r="AU11">
        <f t="shared" si="2"/>
        <v>3</v>
      </c>
      <c r="AW11" s="3">
        <f t="shared" si="5"/>
        <v>1</v>
      </c>
      <c r="AX11">
        <f t="shared" si="3"/>
        <v>12</v>
      </c>
      <c r="AY11" s="3">
        <f t="shared" si="4"/>
        <v>1</v>
      </c>
    </row>
    <row r="12" spans="2:51" x14ac:dyDescent="0.2">
      <c r="B12" s="523"/>
      <c r="C12" s="10"/>
      <c r="D12" s="298" t="s">
        <v>71</v>
      </c>
      <c r="E12" s="298"/>
      <c r="F12" s="298"/>
      <c r="G12" s="298" t="s">
        <v>34</v>
      </c>
      <c r="H12" s="298"/>
      <c r="I12" s="298"/>
      <c r="J12" s="10"/>
      <c r="K12" s="10"/>
      <c r="L12" s="10"/>
      <c r="M12" s="10"/>
      <c r="N12" s="298" t="s">
        <v>38</v>
      </c>
      <c r="O12" s="298"/>
      <c r="P12" s="298"/>
      <c r="Q12" s="298" t="s">
        <v>13</v>
      </c>
      <c r="R12" s="298"/>
      <c r="S12" s="298"/>
      <c r="T12" s="10"/>
      <c r="U12" s="10"/>
      <c r="V12" s="10"/>
      <c r="W12" s="298" t="s">
        <v>43</v>
      </c>
      <c r="X12" s="298"/>
      <c r="Y12" s="298"/>
      <c r="Z12" s="299" t="s">
        <v>81</v>
      </c>
      <c r="AA12" s="299"/>
      <c r="AB12" s="299"/>
      <c r="AC12" s="298" t="s">
        <v>158</v>
      </c>
      <c r="AD12" s="298"/>
      <c r="AE12" s="298"/>
      <c r="AF12" s="518"/>
      <c r="AG12" s="234"/>
      <c r="AJ12" s="1" t="s">
        <v>36</v>
      </c>
      <c r="AK12" s="268">
        <v>10</v>
      </c>
      <c r="AL12" s="272">
        <v>10</v>
      </c>
      <c r="AM12" s="272">
        <v>0</v>
      </c>
      <c r="AN12" s="272"/>
      <c r="AO12" s="272">
        <f t="shared" si="0"/>
        <v>10</v>
      </c>
      <c r="AP12" s="273"/>
      <c r="AQ12" s="3">
        <f t="shared" si="1"/>
        <v>1</v>
      </c>
      <c r="AR12" s="272">
        <v>9</v>
      </c>
      <c r="AS12" s="272">
        <v>9</v>
      </c>
      <c r="AT12">
        <v>0</v>
      </c>
      <c r="AU12">
        <f t="shared" si="2"/>
        <v>9</v>
      </c>
      <c r="AW12" s="3">
        <f t="shared" si="5"/>
        <v>1</v>
      </c>
      <c r="AX12">
        <f t="shared" si="3"/>
        <v>19</v>
      </c>
      <c r="AY12" s="3">
        <f t="shared" si="4"/>
        <v>1</v>
      </c>
    </row>
    <row r="13" spans="2:51" x14ac:dyDescent="0.2">
      <c r="B13" s="523"/>
      <c r="C13" s="298" t="s">
        <v>74</v>
      </c>
      <c r="D13" s="298"/>
      <c r="E13" s="298"/>
      <c r="F13" s="10"/>
      <c r="G13" s="10"/>
      <c r="H13" s="10"/>
      <c r="I13" s="298" t="s">
        <v>17</v>
      </c>
      <c r="J13" s="298"/>
      <c r="K13" s="298"/>
      <c r="L13" s="298" t="s">
        <v>80</v>
      </c>
      <c r="M13" s="298"/>
      <c r="N13" s="298"/>
      <c r="O13" s="10"/>
      <c r="P13" s="10"/>
      <c r="Q13" s="10"/>
      <c r="R13" s="10"/>
      <c r="S13" s="298" t="s">
        <v>74</v>
      </c>
      <c r="T13" s="298"/>
      <c r="U13" s="298"/>
      <c r="V13" s="298" t="s">
        <v>72</v>
      </c>
      <c r="W13" s="298"/>
      <c r="X13" s="298"/>
      <c r="Y13" s="10"/>
      <c r="Z13" s="10"/>
      <c r="AA13" s="25"/>
      <c r="AB13" s="25"/>
      <c r="AC13" s="10"/>
      <c r="AD13" s="25"/>
      <c r="AE13" s="164"/>
      <c r="AF13" s="518"/>
      <c r="AG13" s="234"/>
      <c r="AJ13" s="1" t="s">
        <v>87</v>
      </c>
      <c r="AK13" s="268">
        <v>12</v>
      </c>
      <c r="AL13" s="272">
        <v>12</v>
      </c>
      <c r="AM13" s="272">
        <v>0</v>
      </c>
      <c r="AN13" s="272"/>
      <c r="AO13" s="272">
        <f t="shared" si="0"/>
        <v>12</v>
      </c>
      <c r="AP13" s="273"/>
      <c r="AQ13" s="3">
        <f t="shared" si="1"/>
        <v>1</v>
      </c>
      <c r="AR13" s="272">
        <v>6</v>
      </c>
      <c r="AS13" s="272">
        <v>6</v>
      </c>
      <c r="AT13">
        <v>0</v>
      </c>
      <c r="AU13">
        <f t="shared" si="2"/>
        <v>6</v>
      </c>
      <c r="AW13" s="3">
        <f t="shared" si="5"/>
        <v>1</v>
      </c>
      <c r="AX13">
        <f t="shared" si="3"/>
        <v>18</v>
      </c>
      <c r="AY13" s="3">
        <f t="shared" si="4"/>
        <v>1</v>
      </c>
    </row>
    <row r="14" spans="2:51" x14ac:dyDescent="0.2">
      <c r="B14" s="523"/>
      <c r="C14" s="10"/>
      <c r="D14" s="10"/>
      <c r="E14" s="10"/>
      <c r="F14" s="300" t="s">
        <v>200</v>
      </c>
      <c r="G14" s="300"/>
      <c r="H14" s="300"/>
      <c r="I14" s="10"/>
      <c r="J14" s="10"/>
      <c r="K14" s="300" t="s">
        <v>197</v>
      </c>
      <c r="L14" s="300"/>
      <c r="M14" s="300"/>
      <c r="N14" s="10"/>
      <c r="O14" s="300" t="s">
        <v>12</v>
      </c>
      <c r="P14" s="300"/>
      <c r="Q14" s="300"/>
      <c r="R14" s="10"/>
      <c r="S14" s="10"/>
      <c r="T14" s="300" t="s">
        <v>33</v>
      </c>
      <c r="U14" s="300"/>
      <c r="V14" s="300"/>
      <c r="W14" s="10"/>
      <c r="X14" s="10"/>
      <c r="Y14" s="300" t="s">
        <v>71</v>
      </c>
      <c r="Z14" s="300"/>
      <c r="AA14" s="300"/>
      <c r="AB14" s="10"/>
      <c r="AC14" s="10"/>
      <c r="AD14" s="191"/>
      <c r="AE14" s="191"/>
      <c r="AF14" s="518"/>
      <c r="AG14" s="234"/>
      <c r="AJ14" s="35" t="s">
        <v>74</v>
      </c>
      <c r="AK14" s="267">
        <v>15</v>
      </c>
      <c r="AL14" s="271">
        <v>12</v>
      </c>
      <c r="AM14" s="271">
        <v>0</v>
      </c>
      <c r="AN14" s="271"/>
      <c r="AO14" s="271">
        <f t="shared" si="0"/>
        <v>12</v>
      </c>
      <c r="AP14" s="271">
        <f>SUM(AO7:AO14)</f>
        <v>94</v>
      </c>
      <c r="AQ14" s="3">
        <f t="shared" si="1"/>
        <v>0.8</v>
      </c>
      <c r="AR14" s="271">
        <v>15</v>
      </c>
      <c r="AS14" s="271">
        <v>9</v>
      </c>
      <c r="AT14" s="274">
        <v>0</v>
      </c>
      <c r="AU14" s="274">
        <f t="shared" si="2"/>
        <v>9</v>
      </c>
      <c r="AV14" s="274">
        <f>SUM(AU7:AU14)</f>
        <v>48</v>
      </c>
      <c r="AW14" s="3">
        <f t="shared" si="5"/>
        <v>0.6</v>
      </c>
      <c r="AX14">
        <f t="shared" si="3"/>
        <v>21</v>
      </c>
      <c r="AY14" s="3">
        <f t="shared" si="4"/>
        <v>0.7</v>
      </c>
    </row>
    <row r="15" spans="2:51" x14ac:dyDescent="0.2">
      <c r="B15" s="519" t="s">
        <v>105</v>
      </c>
      <c r="C15" s="12"/>
      <c r="D15" s="301" t="s">
        <v>154</v>
      </c>
      <c r="E15" s="302"/>
      <c r="F15" s="302"/>
      <c r="G15" s="302"/>
      <c r="H15" s="303" t="s">
        <v>6</v>
      </c>
      <c r="I15" s="304"/>
      <c r="J15" s="305"/>
      <c r="K15" s="301" t="s">
        <v>137</v>
      </c>
      <c r="L15" s="302"/>
      <c r="M15" s="302"/>
      <c r="N15" s="302"/>
      <c r="O15" s="303" t="s">
        <v>51</v>
      </c>
      <c r="P15" s="304"/>
      <c r="Q15" s="303" t="s">
        <v>157</v>
      </c>
      <c r="R15" s="304"/>
      <c r="S15" s="305"/>
      <c r="T15" s="301" t="s">
        <v>121</v>
      </c>
      <c r="U15" s="302"/>
      <c r="V15" s="302"/>
      <c r="W15" s="302"/>
      <c r="X15" s="167"/>
      <c r="Y15" s="301" t="s">
        <v>142</v>
      </c>
      <c r="Z15" s="302"/>
      <c r="AA15" s="302"/>
      <c r="AB15" s="302"/>
      <c r="AC15" s="12"/>
      <c r="AD15" s="303" t="s">
        <v>161</v>
      </c>
      <c r="AE15" s="304"/>
      <c r="AF15" s="306"/>
      <c r="AG15" s="234"/>
      <c r="AJ15" s="1" t="s">
        <v>18</v>
      </c>
      <c r="AK15" s="268">
        <v>13</v>
      </c>
      <c r="AL15" s="272">
        <v>13</v>
      </c>
      <c r="AM15" s="272">
        <v>0</v>
      </c>
      <c r="AN15" s="272"/>
      <c r="AO15" s="272">
        <f t="shared" si="0"/>
        <v>13</v>
      </c>
      <c r="AP15" s="273"/>
      <c r="AQ15" s="3">
        <f t="shared" si="1"/>
        <v>1</v>
      </c>
      <c r="AR15" s="272">
        <v>3</v>
      </c>
      <c r="AS15" s="272">
        <v>3</v>
      </c>
      <c r="AT15">
        <v>0</v>
      </c>
      <c r="AU15">
        <f t="shared" si="2"/>
        <v>3</v>
      </c>
      <c r="AW15" s="3">
        <f t="shared" si="5"/>
        <v>1</v>
      </c>
      <c r="AX15">
        <f t="shared" si="3"/>
        <v>16</v>
      </c>
      <c r="AY15" s="3">
        <f t="shared" si="4"/>
        <v>1</v>
      </c>
    </row>
    <row r="16" spans="2:51" x14ac:dyDescent="0.2">
      <c r="B16" s="520"/>
      <c r="C16" s="13"/>
      <c r="D16" s="58"/>
      <c r="E16" s="66"/>
      <c r="F16" s="66"/>
      <c r="G16" s="291" t="s">
        <v>77</v>
      </c>
      <c r="H16" s="292"/>
      <c r="I16" s="293"/>
      <c r="J16" s="291" t="s">
        <v>160</v>
      </c>
      <c r="K16" s="292"/>
      <c r="L16" s="293"/>
      <c r="M16" s="84"/>
      <c r="N16" s="131"/>
      <c r="O16" s="106"/>
      <c r="P16" s="66"/>
      <c r="Q16" s="84"/>
      <c r="R16" s="58"/>
      <c r="S16" s="106"/>
      <c r="T16" s="291" t="s">
        <v>199</v>
      </c>
      <c r="U16" s="292"/>
      <c r="V16" s="293"/>
      <c r="W16" s="58"/>
      <c r="X16" s="291" t="s">
        <v>34</v>
      </c>
      <c r="Y16" s="292"/>
      <c r="Z16" s="293"/>
      <c r="AA16" s="58"/>
      <c r="AB16" s="66"/>
      <c r="AC16" s="186"/>
      <c r="AD16" s="66"/>
      <c r="AE16" s="186"/>
      <c r="AF16" s="201"/>
      <c r="AG16" s="234"/>
      <c r="AJ16" s="1" t="s">
        <v>147</v>
      </c>
      <c r="AK16" s="269"/>
      <c r="AL16" s="273"/>
      <c r="AM16" s="273"/>
      <c r="AN16" s="273"/>
      <c r="AO16" s="273"/>
      <c r="AP16" s="273"/>
      <c r="AR16" s="273"/>
      <c r="AS16" s="273"/>
      <c r="AW16" s="3"/>
      <c r="AY16" s="3"/>
    </row>
    <row r="17" spans="2:51" x14ac:dyDescent="0.2">
      <c r="B17" s="521"/>
      <c r="C17" s="14"/>
      <c r="D17" s="307" t="s">
        <v>71</v>
      </c>
      <c r="E17" s="307"/>
      <c r="F17" s="307"/>
      <c r="G17" s="86"/>
      <c r="H17" s="86"/>
      <c r="I17" s="86"/>
      <c r="J17" s="86"/>
      <c r="K17" s="86"/>
      <c r="L17" s="86"/>
      <c r="M17" s="308" t="s">
        <v>80</v>
      </c>
      <c r="N17" s="309"/>
      <c r="O17" s="308" t="s">
        <v>38</v>
      </c>
      <c r="P17" s="309"/>
      <c r="Q17" s="307" t="s">
        <v>13</v>
      </c>
      <c r="R17" s="307"/>
      <c r="S17" s="307"/>
      <c r="T17" s="156"/>
      <c r="U17" s="160"/>
      <c r="V17" s="86"/>
      <c r="W17" s="308" t="s">
        <v>72</v>
      </c>
      <c r="X17" s="309"/>
      <c r="Y17" s="86"/>
      <c r="Z17" s="86"/>
      <c r="AA17" s="310" t="s">
        <v>81</v>
      </c>
      <c r="AB17" s="311"/>
      <c r="AC17" s="187"/>
      <c r="AD17" s="308" t="s">
        <v>54</v>
      </c>
      <c r="AE17" s="309"/>
      <c r="AF17" s="202" t="s">
        <v>155</v>
      </c>
      <c r="AG17" s="234"/>
      <c r="AJ17" s="1" t="s">
        <v>66</v>
      </c>
      <c r="AK17" s="268">
        <v>6</v>
      </c>
      <c r="AL17" s="272">
        <v>6</v>
      </c>
      <c r="AM17" s="272">
        <v>0</v>
      </c>
      <c r="AN17" s="272"/>
      <c r="AO17" s="272">
        <f t="shared" ref="AO17:AO45" si="6">SUM(AL17:AN17)</f>
        <v>6</v>
      </c>
      <c r="AP17" s="273"/>
      <c r="AQ17" s="3">
        <f t="shared" ref="AQ17:AQ45" si="7">+AO17/AK17</f>
        <v>1</v>
      </c>
      <c r="AR17" s="272">
        <v>3</v>
      </c>
      <c r="AS17" s="272">
        <v>3</v>
      </c>
      <c r="AT17">
        <v>0</v>
      </c>
      <c r="AU17">
        <f t="shared" ref="AU17:AU45" si="8">AS17+AT17</f>
        <v>3</v>
      </c>
      <c r="AW17" s="3">
        <f t="shared" ref="AW17:AW22" si="9">AU17/AR17</f>
        <v>1</v>
      </c>
      <c r="AX17">
        <f t="shared" ref="AX17:AX45" si="10">AO17+AU17</f>
        <v>9</v>
      </c>
      <c r="AY17" s="3">
        <f t="shared" ref="AY17:AY45" si="11">AX17/(AK17+AR17)</f>
        <v>1</v>
      </c>
    </row>
    <row r="18" spans="2:51" x14ac:dyDescent="0.2">
      <c r="B18" s="522" t="s">
        <v>103</v>
      </c>
      <c r="C18" s="525" t="s">
        <v>262</v>
      </c>
      <c r="D18" s="312" t="s">
        <v>154</v>
      </c>
      <c r="E18" s="312"/>
      <c r="F18" s="312"/>
      <c r="G18" s="312"/>
      <c r="H18" s="313" t="s">
        <v>6</v>
      </c>
      <c r="I18" s="313"/>
      <c r="J18" s="313"/>
      <c r="K18" s="312" t="s">
        <v>137</v>
      </c>
      <c r="L18" s="312"/>
      <c r="M18" s="312"/>
      <c r="N18" s="312"/>
      <c r="O18" s="313" t="s">
        <v>51</v>
      </c>
      <c r="P18" s="313"/>
      <c r="Q18" s="313" t="s">
        <v>157</v>
      </c>
      <c r="R18" s="313"/>
      <c r="S18" s="313"/>
      <c r="T18" s="312" t="s">
        <v>121</v>
      </c>
      <c r="U18" s="312"/>
      <c r="V18" s="312"/>
      <c r="W18" s="312"/>
      <c r="X18" s="50" t="s">
        <v>55</v>
      </c>
      <c r="Y18" s="312" t="s">
        <v>142</v>
      </c>
      <c r="Z18" s="312"/>
      <c r="AA18" s="312"/>
      <c r="AB18" s="312"/>
      <c r="AC18" s="188"/>
      <c r="AD18" s="313" t="s">
        <v>161</v>
      </c>
      <c r="AE18" s="313"/>
      <c r="AF18" s="314"/>
      <c r="AG18" s="235"/>
      <c r="AJ18" s="1" t="s">
        <v>98</v>
      </c>
      <c r="AK18" s="268">
        <v>12</v>
      </c>
      <c r="AL18" s="272">
        <v>12</v>
      </c>
      <c r="AM18" s="272">
        <v>0</v>
      </c>
      <c r="AN18" s="272"/>
      <c r="AO18" s="272">
        <f t="shared" si="6"/>
        <v>12</v>
      </c>
      <c r="AP18" s="273"/>
      <c r="AQ18" s="3">
        <f t="shared" si="7"/>
        <v>1</v>
      </c>
      <c r="AR18" s="272">
        <v>12</v>
      </c>
      <c r="AS18" s="272">
        <v>6</v>
      </c>
      <c r="AT18">
        <v>0</v>
      </c>
      <c r="AU18">
        <f t="shared" si="8"/>
        <v>6</v>
      </c>
      <c r="AW18" s="3">
        <f t="shared" si="9"/>
        <v>0.5</v>
      </c>
      <c r="AX18">
        <f t="shared" si="10"/>
        <v>18</v>
      </c>
      <c r="AY18" s="3">
        <f t="shared" si="11"/>
        <v>0.75</v>
      </c>
    </row>
    <row r="19" spans="2:51" x14ac:dyDescent="0.2">
      <c r="B19" s="523"/>
      <c r="C19" s="526"/>
      <c r="D19" s="315" t="s">
        <v>3</v>
      </c>
      <c r="E19" s="315"/>
      <c r="F19" s="10"/>
      <c r="G19" s="315" t="s">
        <v>77</v>
      </c>
      <c r="H19" s="315"/>
      <c r="I19" s="315"/>
      <c r="J19" s="315" t="s">
        <v>160</v>
      </c>
      <c r="K19" s="315"/>
      <c r="L19" s="315"/>
      <c r="M19" s="26" t="s">
        <v>62</v>
      </c>
      <c r="N19" s="54" t="s">
        <v>263</v>
      </c>
      <c r="O19" s="10"/>
      <c r="P19" s="315" t="s">
        <v>0</v>
      </c>
      <c r="Q19" s="315"/>
      <c r="R19" s="315"/>
      <c r="S19" s="10"/>
      <c r="T19" s="315" t="s">
        <v>199</v>
      </c>
      <c r="U19" s="315"/>
      <c r="V19" s="315"/>
      <c r="W19" s="316" t="s">
        <v>115</v>
      </c>
      <c r="X19" s="317"/>
      <c r="Y19" s="315" t="s">
        <v>34</v>
      </c>
      <c r="Z19" s="315"/>
      <c r="AA19" s="26" t="s">
        <v>132</v>
      </c>
      <c r="AB19" s="315" t="s">
        <v>107</v>
      </c>
      <c r="AC19" s="315"/>
      <c r="AD19" s="315"/>
      <c r="AE19" s="54" t="s">
        <v>265</v>
      </c>
      <c r="AF19" s="200" t="s">
        <v>212</v>
      </c>
      <c r="AG19" s="234"/>
      <c r="AJ19" s="1" t="s">
        <v>62</v>
      </c>
      <c r="AK19" s="268">
        <v>10</v>
      </c>
      <c r="AL19" s="272">
        <v>10</v>
      </c>
      <c r="AM19" s="272">
        <v>0</v>
      </c>
      <c r="AN19" s="272"/>
      <c r="AO19" s="272">
        <f t="shared" si="6"/>
        <v>10</v>
      </c>
      <c r="AP19" s="273"/>
      <c r="AQ19" s="3">
        <f t="shared" si="7"/>
        <v>1</v>
      </c>
      <c r="AR19" s="272">
        <v>3</v>
      </c>
      <c r="AS19" s="272">
        <v>3</v>
      </c>
      <c r="AT19">
        <v>0</v>
      </c>
      <c r="AU19">
        <f t="shared" si="8"/>
        <v>3</v>
      </c>
      <c r="AW19" s="3">
        <f t="shared" si="9"/>
        <v>1</v>
      </c>
      <c r="AX19">
        <f t="shared" si="10"/>
        <v>13</v>
      </c>
      <c r="AY19" s="3">
        <f t="shared" si="11"/>
        <v>1</v>
      </c>
    </row>
    <row r="20" spans="2:51" x14ac:dyDescent="0.2">
      <c r="B20" s="523"/>
      <c r="C20" s="526"/>
      <c r="D20" s="10"/>
      <c r="E20" s="10"/>
      <c r="F20" s="10"/>
      <c r="G20" s="10"/>
      <c r="H20" s="10"/>
      <c r="I20" s="10"/>
      <c r="J20" s="10"/>
      <c r="K20" s="10"/>
      <c r="L20" s="10"/>
      <c r="M20" s="7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70"/>
      <c r="AB20" s="10"/>
      <c r="AC20" s="10"/>
      <c r="AD20" s="10"/>
      <c r="AE20" s="10"/>
      <c r="AF20" s="203"/>
      <c r="AG20" s="234"/>
      <c r="AJ20" s="1" t="s">
        <v>12</v>
      </c>
      <c r="AK20" s="268">
        <v>28</v>
      </c>
      <c r="AL20" s="272">
        <v>28</v>
      </c>
      <c r="AM20" s="272">
        <v>0</v>
      </c>
      <c r="AN20" s="272"/>
      <c r="AO20" s="272">
        <f t="shared" si="6"/>
        <v>28</v>
      </c>
      <c r="AP20" s="273"/>
      <c r="AQ20" s="3">
        <f t="shared" si="7"/>
        <v>1</v>
      </c>
      <c r="AR20" s="272">
        <v>6</v>
      </c>
      <c r="AS20" s="272">
        <v>6</v>
      </c>
      <c r="AT20">
        <v>0</v>
      </c>
      <c r="AU20">
        <f t="shared" si="8"/>
        <v>6</v>
      </c>
      <c r="AW20" s="3">
        <f t="shared" si="9"/>
        <v>1</v>
      </c>
      <c r="AX20">
        <f t="shared" si="10"/>
        <v>34</v>
      </c>
      <c r="AY20" s="3">
        <f t="shared" si="11"/>
        <v>1</v>
      </c>
    </row>
    <row r="21" spans="2:51" x14ac:dyDescent="0.2">
      <c r="B21" s="523"/>
      <c r="C21" s="526"/>
      <c r="D21" s="298" t="s">
        <v>71</v>
      </c>
      <c r="E21" s="298"/>
      <c r="F21" s="298"/>
      <c r="G21" s="298" t="s">
        <v>34</v>
      </c>
      <c r="H21" s="298"/>
      <c r="I21" s="298"/>
      <c r="J21" s="298" t="s">
        <v>17</v>
      </c>
      <c r="K21" s="298"/>
      <c r="L21" s="298" t="s">
        <v>80</v>
      </c>
      <c r="M21" s="298"/>
      <c r="N21" s="298"/>
      <c r="O21" s="298" t="s">
        <v>38</v>
      </c>
      <c r="P21" s="298"/>
      <c r="Q21" s="298" t="s">
        <v>13</v>
      </c>
      <c r="R21" s="298"/>
      <c r="S21" s="298"/>
      <c r="T21" s="298" t="s">
        <v>264</v>
      </c>
      <c r="U21" s="298"/>
      <c r="V21" s="298" t="s">
        <v>72</v>
      </c>
      <c r="W21" s="298"/>
      <c r="X21" s="298"/>
      <c r="Y21" s="11" t="s">
        <v>43</v>
      </c>
      <c r="Z21" s="299" t="s">
        <v>81</v>
      </c>
      <c r="AA21" s="299"/>
      <c r="AB21" s="299"/>
      <c r="AC21" s="298" t="s">
        <v>158</v>
      </c>
      <c r="AD21" s="298"/>
      <c r="AE21" s="298"/>
      <c r="AF21" s="204" t="s">
        <v>155</v>
      </c>
      <c r="AG21" s="234"/>
      <c r="AJ21" s="35" t="s">
        <v>43</v>
      </c>
      <c r="AK21" s="267">
        <v>9</v>
      </c>
      <c r="AL21" s="271">
        <v>9</v>
      </c>
      <c r="AM21" s="271">
        <v>0</v>
      </c>
      <c r="AN21" s="271"/>
      <c r="AO21" s="271">
        <f t="shared" si="6"/>
        <v>9</v>
      </c>
      <c r="AP21" s="271">
        <f>SUM(AO15:AO21)</f>
        <v>78</v>
      </c>
      <c r="AQ21" s="3">
        <f t="shared" si="7"/>
        <v>1</v>
      </c>
      <c r="AR21" s="271">
        <v>6</v>
      </c>
      <c r="AS21" s="271">
        <v>3</v>
      </c>
      <c r="AT21" s="274">
        <v>0</v>
      </c>
      <c r="AU21" s="274">
        <f t="shared" si="8"/>
        <v>3</v>
      </c>
      <c r="AV21" s="274">
        <f>SUM(AU15:AU21)</f>
        <v>24</v>
      </c>
      <c r="AW21" s="3">
        <f t="shared" si="9"/>
        <v>0.5</v>
      </c>
      <c r="AX21">
        <f t="shared" si="10"/>
        <v>12</v>
      </c>
      <c r="AY21" s="3">
        <f t="shared" si="11"/>
        <v>0.8</v>
      </c>
    </row>
    <row r="22" spans="2:51" x14ac:dyDescent="0.2">
      <c r="B22" s="524"/>
      <c r="C22" s="527"/>
      <c r="D22" s="307" t="s">
        <v>74</v>
      </c>
      <c r="E22" s="307"/>
      <c r="F22" s="318" t="s">
        <v>200</v>
      </c>
      <c r="G22" s="318"/>
      <c r="H22" s="318"/>
      <c r="I22" s="31" t="s">
        <v>17</v>
      </c>
      <c r="J22" s="28"/>
      <c r="K22" s="318" t="s">
        <v>197</v>
      </c>
      <c r="L22" s="318"/>
      <c r="M22" s="318"/>
      <c r="N22" s="31" t="s">
        <v>38</v>
      </c>
      <c r="O22" s="318" t="s">
        <v>12</v>
      </c>
      <c r="P22" s="318"/>
      <c r="Q22" s="318"/>
      <c r="R22" s="28"/>
      <c r="S22" s="32" t="s">
        <v>264</v>
      </c>
      <c r="T22" s="318" t="s">
        <v>33</v>
      </c>
      <c r="U22" s="318"/>
      <c r="V22" s="318"/>
      <c r="W22" s="307" t="s">
        <v>43</v>
      </c>
      <c r="X22" s="307"/>
      <c r="Y22" s="318" t="s">
        <v>71</v>
      </c>
      <c r="Z22" s="318"/>
      <c r="AA22" s="318"/>
      <c r="AB22" s="28"/>
      <c r="AC22" s="28"/>
      <c r="AD22" s="318" t="s">
        <v>209</v>
      </c>
      <c r="AE22" s="318"/>
      <c r="AF22" s="319"/>
      <c r="AG22" s="234"/>
      <c r="AJ22" s="1" t="s">
        <v>88</v>
      </c>
      <c r="AK22" s="268">
        <v>13</v>
      </c>
      <c r="AL22" s="272">
        <v>13</v>
      </c>
      <c r="AM22" s="272">
        <v>0</v>
      </c>
      <c r="AN22" s="272"/>
      <c r="AO22" s="272">
        <f t="shared" si="6"/>
        <v>13</v>
      </c>
      <c r="AP22" s="273"/>
      <c r="AQ22" s="3">
        <f t="shared" si="7"/>
        <v>1</v>
      </c>
      <c r="AR22" s="272">
        <v>6</v>
      </c>
      <c r="AS22" s="272">
        <v>6</v>
      </c>
      <c r="AT22">
        <v>0</v>
      </c>
      <c r="AU22" s="276">
        <f t="shared" si="8"/>
        <v>6</v>
      </c>
      <c r="AW22" s="3">
        <f t="shared" si="9"/>
        <v>1</v>
      </c>
      <c r="AX22">
        <f t="shared" si="10"/>
        <v>19</v>
      </c>
      <c r="AY22" s="3">
        <f t="shared" si="11"/>
        <v>1</v>
      </c>
    </row>
    <row r="23" spans="2:51" x14ac:dyDescent="0.2">
      <c r="B23" s="528" t="s">
        <v>106</v>
      </c>
      <c r="C23" s="15"/>
      <c r="D23" s="301" t="s">
        <v>154</v>
      </c>
      <c r="E23" s="302"/>
      <c r="F23" s="302"/>
      <c r="G23" s="302"/>
      <c r="H23" s="303" t="s">
        <v>6</v>
      </c>
      <c r="I23" s="304"/>
      <c r="J23" s="305"/>
      <c r="K23" s="301" t="s">
        <v>137</v>
      </c>
      <c r="L23" s="302"/>
      <c r="M23" s="302"/>
      <c r="N23" s="302"/>
      <c r="O23" s="15"/>
      <c r="P23" s="303" t="s">
        <v>0</v>
      </c>
      <c r="Q23" s="304"/>
      <c r="R23" s="305"/>
      <c r="S23" s="15"/>
      <c r="T23" s="289" t="s">
        <v>121</v>
      </c>
      <c r="U23" s="290"/>
      <c r="V23" s="290"/>
      <c r="W23" s="290"/>
      <c r="X23" s="168" t="s">
        <v>34</v>
      </c>
      <c r="Y23" s="289" t="s">
        <v>142</v>
      </c>
      <c r="Z23" s="290"/>
      <c r="AA23" s="290"/>
      <c r="AB23" s="290"/>
      <c r="AC23" s="320" t="s">
        <v>107</v>
      </c>
      <c r="AD23" s="321"/>
      <c r="AE23" s="304" t="s">
        <v>293</v>
      </c>
      <c r="AF23" s="306"/>
      <c r="AG23" s="234"/>
      <c r="AJ23" s="1" t="s">
        <v>6</v>
      </c>
      <c r="AK23" s="268">
        <v>13</v>
      </c>
      <c r="AL23" s="272">
        <v>13</v>
      </c>
      <c r="AM23" s="272">
        <v>0</v>
      </c>
      <c r="AN23" s="272"/>
      <c r="AO23" s="272">
        <f t="shared" si="6"/>
        <v>13</v>
      </c>
      <c r="AP23" s="273"/>
      <c r="AQ23" s="3">
        <f t="shared" si="7"/>
        <v>1</v>
      </c>
      <c r="AR23" s="272">
        <v>0</v>
      </c>
      <c r="AS23" s="272">
        <v>0</v>
      </c>
      <c r="AT23">
        <v>0</v>
      </c>
      <c r="AU23">
        <f t="shared" si="8"/>
        <v>0</v>
      </c>
      <c r="AW23" s="277" t="s">
        <v>4</v>
      </c>
      <c r="AX23">
        <f t="shared" si="10"/>
        <v>13</v>
      </c>
      <c r="AY23" s="3">
        <f t="shared" si="11"/>
        <v>1</v>
      </c>
    </row>
    <row r="24" spans="2:51" x14ac:dyDescent="0.2">
      <c r="B24" s="529"/>
      <c r="C24" s="291" t="s">
        <v>3</v>
      </c>
      <c r="D24" s="292"/>
      <c r="E24" s="293"/>
      <c r="F24" s="70"/>
      <c r="G24" s="291" t="s">
        <v>77</v>
      </c>
      <c r="H24" s="292"/>
      <c r="I24" s="293"/>
      <c r="J24" s="291" t="s">
        <v>160</v>
      </c>
      <c r="K24" s="292"/>
      <c r="L24" s="293"/>
      <c r="M24" s="122" t="s">
        <v>62</v>
      </c>
      <c r="N24" s="291" t="s">
        <v>51</v>
      </c>
      <c r="O24" s="292"/>
      <c r="P24" s="293"/>
      <c r="Q24" s="291" t="s">
        <v>157</v>
      </c>
      <c r="R24" s="292"/>
      <c r="S24" s="293"/>
      <c r="T24" s="291" t="s">
        <v>199</v>
      </c>
      <c r="U24" s="292"/>
      <c r="V24" s="293"/>
      <c r="W24" s="322" t="s">
        <v>290</v>
      </c>
      <c r="X24" s="323"/>
      <c r="Y24" s="292" t="s">
        <v>292</v>
      </c>
      <c r="Z24" s="293"/>
      <c r="AA24" s="181" t="s">
        <v>267</v>
      </c>
      <c r="AB24" s="180" t="s">
        <v>107</v>
      </c>
      <c r="AC24" s="291" t="s">
        <v>86</v>
      </c>
      <c r="AD24" s="292"/>
      <c r="AE24" s="293"/>
      <c r="AF24" s="205" t="s">
        <v>113</v>
      </c>
      <c r="AG24" s="234"/>
      <c r="AJ24" s="1" t="s">
        <v>54</v>
      </c>
      <c r="AK24" s="268">
        <v>20</v>
      </c>
      <c r="AL24" s="272">
        <v>20</v>
      </c>
      <c r="AM24" s="272">
        <v>0</v>
      </c>
      <c r="AN24" s="272"/>
      <c r="AO24" s="272">
        <f t="shared" si="6"/>
        <v>20</v>
      </c>
      <c r="AP24" s="273"/>
      <c r="AQ24" s="3">
        <f t="shared" si="7"/>
        <v>1</v>
      </c>
      <c r="AR24" s="272">
        <v>3</v>
      </c>
      <c r="AS24" s="272">
        <v>3</v>
      </c>
      <c r="AT24">
        <v>0</v>
      </c>
      <c r="AU24">
        <f t="shared" si="8"/>
        <v>3</v>
      </c>
      <c r="AW24" s="3">
        <f t="shared" ref="AW24:AW33" si="12">AU24/AR24</f>
        <v>1</v>
      </c>
      <c r="AX24">
        <f t="shared" si="10"/>
        <v>23</v>
      </c>
      <c r="AY24" s="3">
        <f t="shared" si="11"/>
        <v>1</v>
      </c>
    </row>
    <row r="25" spans="2:51" x14ac:dyDescent="0.2">
      <c r="B25" s="530"/>
      <c r="C25" s="298" t="s">
        <v>74</v>
      </c>
      <c r="D25" s="298"/>
      <c r="E25" s="298"/>
      <c r="F25" s="80" t="s">
        <v>71</v>
      </c>
      <c r="G25" s="298" t="s">
        <v>34</v>
      </c>
      <c r="H25" s="298"/>
      <c r="I25" s="298"/>
      <c r="J25" s="324" t="s">
        <v>17</v>
      </c>
      <c r="K25" s="325"/>
      <c r="L25" s="298" t="s">
        <v>80</v>
      </c>
      <c r="M25" s="298"/>
      <c r="N25" s="298"/>
      <c r="O25" s="324" t="s">
        <v>38</v>
      </c>
      <c r="P25" s="325"/>
      <c r="Q25" s="298" t="s">
        <v>13</v>
      </c>
      <c r="R25" s="298"/>
      <c r="S25" s="298"/>
      <c r="T25" s="324" t="s">
        <v>264</v>
      </c>
      <c r="U25" s="325"/>
      <c r="V25" s="298" t="s">
        <v>72</v>
      </c>
      <c r="W25" s="298"/>
      <c r="X25" s="298"/>
      <c r="Y25" s="80" t="s">
        <v>43</v>
      </c>
      <c r="Z25" s="299" t="s">
        <v>81</v>
      </c>
      <c r="AA25" s="299"/>
      <c r="AB25" s="299"/>
      <c r="AC25" s="298" t="s">
        <v>158</v>
      </c>
      <c r="AD25" s="298"/>
      <c r="AE25" s="298"/>
      <c r="AF25" s="204" t="s">
        <v>155</v>
      </c>
      <c r="AG25" s="234"/>
      <c r="AJ25" s="1" t="s">
        <v>84</v>
      </c>
      <c r="AK25" s="268">
        <v>9</v>
      </c>
      <c r="AL25" s="272">
        <v>6</v>
      </c>
      <c r="AM25" s="272">
        <v>0</v>
      </c>
      <c r="AN25" s="272"/>
      <c r="AO25" s="272">
        <f t="shared" si="6"/>
        <v>6</v>
      </c>
      <c r="AP25" s="273"/>
      <c r="AQ25" s="3">
        <f t="shared" si="7"/>
        <v>0.66666666666666663</v>
      </c>
      <c r="AR25" s="272">
        <v>3</v>
      </c>
      <c r="AS25" s="272">
        <v>3</v>
      </c>
      <c r="AT25">
        <v>0</v>
      </c>
      <c r="AU25">
        <f t="shared" si="8"/>
        <v>3</v>
      </c>
      <c r="AW25" s="3">
        <f t="shared" si="12"/>
        <v>1</v>
      </c>
      <c r="AX25">
        <f t="shared" si="10"/>
        <v>9</v>
      </c>
      <c r="AY25" s="3">
        <f t="shared" si="11"/>
        <v>0.75</v>
      </c>
    </row>
    <row r="26" spans="2:51" x14ac:dyDescent="0.2">
      <c r="B26" s="531"/>
      <c r="C26" s="9"/>
      <c r="D26" s="308" t="s">
        <v>71</v>
      </c>
      <c r="E26" s="309"/>
      <c r="F26" s="318" t="s">
        <v>200</v>
      </c>
      <c r="G26" s="318"/>
      <c r="H26" s="318"/>
      <c r="I26" s="100" t="s">
        <v>17</v>
      </c>
      <c r="J26" s="9"/>
      <c r="K26" s="318" t="s">
        <v>197</v>
      </c>
      <c r="L26" s="318"/>
      <c r="M26" s="318"/>
      <c r="N26" s="100" t="s">
        <v>38</v>
      </c>
      <c r="O26" s="318" t="s">
        <v>12</v>
      </c>
      <c r="P26" s="318"/>
      <c r="Q26" s="318"/>
      <c r="R26" s="9"/>
      <c r="S26" s="148" t="s">
        <v>264</v>
      </c>
      <c r="T26" s="318" t="s">
        <v>33</v>
      </c>
      <c r="U26" s="318"/>
      <c r="V26" s="318"/>
      <c r="W26" s="308" t="s">
        <v>43</v>
      </c>
      <c r="X26" s="309"/>
      <c r="Y26" s="318" t="s">
        <v>71</v>
      </c>
      <c r="Z26" s="318"/>
      <c r="AA26" s="318"/>
      <c r="AB26" s="9"/>
      <c r="AC26" s="9"/>
      <c r="AD26" s="318" t="s">
        <v>209</v>
      </c>
      <c r="AE26" s="318"/>
      <c r="AF26" s="319"/>
      <c r="AG26" s="6"/>
      <c r="AJ26" s="1" t="s">
        <v>1</v>
      </c>
      <c r="AK26" s="268">
        <v>6</v>
      </c>
      <c r="AL26" s="272">
        <v>6</v>
      </c>
      <c r="AM26" s="272">
        <v>0</v>
      </c>
      <c r="AN26" s="272"/>
      <c r="AO26" s="272">
        <f t="shared" si="6"/>
        <v>6</v>
      </c>
      <c r="AP26" s="273"/>
      <c r="AQ26" s="3">
        <f t="shared" si="7"/>
        <v>1</v>
      </c>
      <c r="AR26" s="272">
        <v>3</v>
      </c>
      <c r="AS26" s="272">
        <v>3</v>
      </c>
      <c r="AT26">
        <v>0</v>
      </c>
      <c r="AU26">
        <f t="shared" si="8"/>
        <v>3</v>
      </c>
      <c r="AW26" s="3">
        <f t="shared" si="12"/>
        <v>1</v>
      </c>
      <c r="AX26">
        <f t="shared" si="10"/>
        <v>9</v>
      </c>
      <c r="AY26" s="3">
        <f t="shared" si="11"/>
        <v>1</v>
      </c>
    </row>
    <row r="27" spans="2:51" ht="13.5" customHeight="1" x14ac:dyDescent="0.2">
      <c r="B27" s="4"/>
      <c r="AJ27" s="1" t="s">
        <v>91</v>
      </c>
      <c r="AK27" s="268">
        <v>13</v>
      </c>
      <c r="AL27" s="272">
        <v>13</v>
      </c>
      <c r="AM27" s="272">
        <v>0</v>
      </c>
      <c r="AN27" s="272"/>
      <c r="AO27" s="272">
        <f t="shared" si="6"/>
        <v>13</v>
      </c>
      <c r="AP27" s="273"/>
      <c r="AQ27" s="3">
        <f t="shared" si="7"/>
        <v>1</v>
      </c>
      <c r="AR27" s="272">
        <v>6</v>
      </c>
      <c r="AS27" s="272">
        <v>3</v>
      </c>
      <c r="AT27">
        <v>0</v>
      </c>
      <c r="AU27">
        <f t="shared" si="8"/>
        <v>3</v>
      </c>
      <c r="AW27" s="3">
        <f t="shared" si="12"/>
        <v>0.5</v>
      </c>
      <c r="AX27">
        <f t="shared" si="10"/>
        <v>16</v>
      </c>
      <c r="AY27" s="3">
        <f t="shared" si="11"/>
        <v>0.84210526315789469</v>
      </c>
    </row>
    <row r="28" spans="2:51" hidden="1" x14ac:dyDescent="0.2">
      <c r="B28" s="532" t="s">
        <v>47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326" t="s">
        <v>38</v>
      </c>
      <c r="O28" s="326"/>
      <c r="P28" s="326"/>
      <c r="Q28" s="326" t="s">
        <v>13</v>
      </c>
      <c r="R28" s="326"/>
      <c r="S28" s="326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9"/>
      <c r="AE28" s="19"/>
      <c r="AF28" s="206" t="s">
        <v>155</v>
      </c>
      <c r="AG28" s="236"/>
      <c r="AJ28" s="35" t="s">
        <v>51</v>
      </c>
      <c r="AK28" s="267">
        <v>16</v>
      </c>
      <c r="AL28" s="271">
        <v>16</v>
      </c>
      <c r="AM28" s="271">
        <v>0</v>
      </c>
      <c r="AN28" s="271"/>
      <c r="AO28" s="271">
        <f t="shared" si="6"/>
        <v>16</v>
      </c>
      <c r="AP28" s="271">
        <f>SUM(AO22:AO28)</f>
        <v>87</v>
      </c>
      <c r="AQ28" s="3">
        <f t="shared" si="7"/>
        <v>1</v>
      </c>
      <c r="AR28" s="271">
        <v>12</v>
      </c>
      <c r="AS28" s="271">
        <v>12</v>
      </c>
      <c r="AT28" s="274">
        <v>0</v>
      </c>
      <c r="AU28" s="274">
        <f t="shared" si="8"/>
        <v>12</v>
      </c>
      <c r="AV28" s="274">
        <f>SUM(AU22:AU28)</f>
        <v>30</v>
      </c>
      <c r="AW28" s="3">
        <f t="shared" si="12"/>
        <v>1</v>
      </c>
      <c r="AX28">
        <f t="shared" si="10"/>
        <v>28</v>
      </c>
      <c r="AY28" s="3">
        <f t="shared" si="11"/>
        <v>1</v>
      </c>
    </row>
    <row r="29" spans="2:51" hidden="1" x14ac:dyDescent="0.2">
      <c r="B29" s="533"/>
      <c r="C29" s="17"/>
      <c r="D29" s="17"/>
      <c r="E29" s="17"/>
      <c r="F29" s="59"/>
      <c r="G29" s="59"/>
      <c r="H29" s="59"/>
      <c r="I29" s="59"/>
      <c r="J29" s="59"/>
      <c r="K29" s="327" t="s">
        <v>197</v>
      </c>
      <c r="L29" s="327"/>
      <c r="M29" s="327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17"/>
      <c r="AD29" s="17"/>
      <c r="AE29" s="17"/>
      <c r="AF29" s="207"/>
      <c r="AG29" s="237"/>
      <c r="AJ29" s="1" t="s">
        <v>76</v>
      </c>
      <c r="AK29" s="268">
        <v>9</v>
      </c>
      <c r="AL29" s="272">
        <v>9</v>
      </c>
      <c r="AM29" s="272">
        <v>0</v>
      </c>
      <c r="AN29" s="272"/>
      <c r="AO29" s="272">
        <f t="shared" si="6"/>
        <v>9</v>
      </c>
      <c r="AP29" s="273"/>
      <c r="AQ29" s="3">
        <f t="shared" si="7"/>
        <v>1</v>
      </c>
      <c r="AR29" s="272">
        <v>6</v>
      </c>
      <c r="AS29" s="272">
        <v>6</v>
      </c>
      <c r="AT29">
        <v>0</v>
      </c>
      <c r="AU29">
        <f t="shared" si="8"/>
        <v>6</v>
      </c>
      <c r="AW29" s="3">
        <f t="shared" si="12"/>
        <v>1</v>
      </c>
      <c r="AX29">
        <f t="shared" si="10"/>
        <v>15</v>
      </c>
      <c r="AY29" s="3">
        <f t="shared" si="11"/>
        <v>1</v>
      </c>
    </row>
    <row r="30" spans="2:51" hidden="1" x14ac:dyDescent="0.2">
      <c r="B30" s="534" t="s">
        <v>41</v>
      </c>
      <c r="C30" s="326" t="s">
        <v>74</v>
      </c>
      <c r="D30" s="326"/>
      <c r="E30" s="326"/>
      <c r="F30" s="16"/>
      <c r="G30" s="326" t="s">
        <v>34</v>
      </c>
      <c r="H30" s="326"/>
      <c r="I30" s="326"/>
      <c r="J30" s="16"/>
      <c r="K30" s="328" t="s">
        <v>137</v>
      </c>
      <c r="L30" s="329"/>
      <c r="M30" s="329"/>
      <c r="N30" s="329"/>
      <c r="O30" s="16"/>
      <c r="P30" s="330" t="s">
        <v>0</v>
      </c>
      <c r="Q30" s="331"/>
      <c r="R30" s="332"/>
      <c r="S30" s="326" t="s">
        <v>74</v>
      </c>
      <c r="T30" s="326"/>
      <c r="U30" s="326"/>
      <c r="V30" s="16"/>
      <c r="W30" s="16"/>
      <c r="X30" s="330" t="s">
        <v>34</v>
      </c>
      <c r="Y30" s="331"/>
      <c r="Z30" s="332"/>
      <c r="AA30" s="16"/>
      <c r="AB30" s="16"/>
      <c r="AC30" s="330" t="s">
        <v>86</v>
      </c>
      <c r="AD30" s="331"/>
      <c r="AE30" s="332"/>
      <c r="AF30" s="208"/>
      <c r="AG30" s="238"/>
      <c r="AH30" s="264"/>
      <c r="AJ30" s="1" t="s">
        <v>14</v>
      </c>
      <c r="AK30" s="268">
        <v>10</v>
      </c>
      <c r="AL30" s="272">
        <v>10</v>
      </c>
      <c r="AM30" s="272">
        <v>0</v>
      </c>
      <c r="AN30" s="272"/>
      <c r="AO30" s="272">
        <f t="shared" si="6"/>
        <v>10</v>
      </c>
      <c r="AP30" s="273"/>
      <c r="AQ30" s="3">
        <f t="shared" si="7"/>
        <v>1</v>
      </c>
      <c r="AR30" s="272">
        <v>9</v>
      </c>
      <c r="AS30" s="272">
        <v>6</v>
      </c>
      <c r="AT30">
        <v>0</v>
      </c>
      <c r="AU30">
        <f t="shared" si="8"/>
        <v>6</v>
      </c>
      <c r="AW30" s="3">
        <f t="shared" si="12"/>
        <v>0.66666666666666663</v>
      </c>
      <c r="AX30">
        <f t="shared" si="10"/>
        <v>16</v>
      </c>
      <c r="AY30" s="3">
        <f t="shared" si="11"/>
        <v>0.84210526315789469</v>
      </c>
    </row>
    <row r="31" spans="2:51" hidden="1" x14ac:dyDescent="0.2">
      <c r="B31" s="535"/>
      <c r="C31" s="18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333" t="s">
        <v>198</v>
      </c>
      <c r="T31" s="334"/>
      <c r="U31" s="335"/>
      <c r="V31" s="59"/>
      <c r="W31" s="59"/>
      <c r="X31" s="59"/>
      <c r="Y31" s="59"/>
      <c r="Z31" s="59"/>
      <c r="AA31" s="59"/>
      <c r="AB31" s="59"/>
      <c r="AC31" s="59"/>
      <c r="AD31" s="327" t="s">
        <v>209</v>
      </c>
      <c r="AE31" s="327"/>
      <c r="AF31" s="336"/>
      <c r="AG31" s="238"/>
      <c r="AH31" s="264"/>
      <c r="AJ31" s="1" t="s">
        <v>82</v>
      </c>
      <c r="AK31" s="268">
        <v>9</v>
      </c>
      <c r="AL31" s="272">
        <v>9</v>
      </c>
      <c r="AM31" s="272">
        <v>0</v>
      </c>
      <c r="AN31" s="272"/>
      <c r="AO31" s="272">
        <f t="shared" si="6"/>
        <v>9</v>
      </c>
      <c r="AP31" s="273"/>
      <c r="AQ31" s="3">
        <f t="shared" si="7"/>
        <v>1</v>
      </c>
      <c r="AR31" s="272">
        <v>3</v>
      </c>
      <c r="AS31" s="272">
        <v>3</v>
      </c>
      <c r="AT31">
        <v>0</v>
      </c>
      <c r="AU31">
        <f t="shared" si="8"/>
        <v>3</v>
      </c>
      <c r="AW31" s="3">
        <f t="shared" si="12"/>
        <v>1</v>
      </c>
      <c r="AX31">
        <f t="shared" si="10"/>
        <v>12</v>
      </c>
      <c r="AY31" s="3">
        <f t="shared" si="11"/>
        <v>1</v>
      </c>
    </row>
    <row r="32" spans="2:51" hidden="1" x14ac:dyDescent="0.2">
      <c r="B32" s="536" t="s">
        <v>28</v>
      </c>
      <c r="C32" s="19"/>
      <c r="D32" s="328" t="s">
        <v>154</v>
      </c>
      <c r="E32" s="329"/>
      <c r="F32" s="329"/>
      <c r="G32" s="32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330" t="s">
        <v>199</v>
      </c>
      <c r="U32" s="331"/>
      <c r="V32" s="332"/>
      <c r="W32" s="326" t="s">
        <v>43</v>
      </c>
      <c r="X32" s="326"/>
      <c r="Y32" s="326"/>
      <c r="Z32" s="299" t="s">
        <v>81</v>
      </c>
      <c r="AA32" s="299"/>
      <c r="AB32" s="299"/>
      <c r="AC32" s="19"/>
      <c r="AD32" s="19"/>
      <c r="AE32" s="19"/>
      <c r="AF32" s="209"/>
      <c r="AG32" s="239"/>
      <c r="AJ32" s="1" t="s">
        <v>61</v>
      </c>
      <c r="AK32" s="268">
        <v>16</v>
      </c>
      <c r="AL32" s="272">
        <v>13</v>
      </c>
      <c r="AM32" s="272">
        <v>0</v>
      </c>
      <c r="AN32" s="272"/>
      <c r="AO32" s="272">
        <f t="shared" si="6"/>
        <v>13</v>
      </c>
      <c r="AP32" s="273"/>
      <c r="AQ32" s="3">
        <f t="shared" si="7"/>
        <v>0.8125</v>
      </c>
      <c r="AR32" s="272">
        <v>9</v>
      </c>
      <c r="AS32" s="272">
        <v>9</v>
      </c>
      <c r="AT32">
        <v>0</v>
      </c>
      <c r="AU32">
        <f t="shared" si="8"/>
        <v>9</v>
      </c>
      <c r="AW32" s="3">
        <f t="shared" si="12"/>
        <v>1</v>
      </c>
      <c r="AX32">
        <f t="shared" si="10"/>
        <v>22</v>
      </c>
      <c r="AY32" s="3">
        <f t="shared" si="11"/>
        <v>0.88</v>
      </c>
    </row>
    <row r="33" spans="2:51" hidden="1" x14ac:dyDescent="0.2">
      <c r="B33" s="537"/>
      <c r="C33" s="20"/>
      <c r="D33" s="18"/>
      <c r="E33" s="18"/>
      <c r="F33" s="18"/>
      <c r="G33" s="18"/>
      <c r="H33" s="18"/>
      <c r="I33" s="18"/>
      <c r="J33" s="18"/>
      <c r="K33" s="333" t="s">
        <v>62</v>
      </c>
      <c r="L33" s="334"/>
      <c r="M33" s="335"/>
      <c r="N33" s="18"/>
      <c r="O33" s="327" t="s">
        <v>12</v>
      </c>
      <c r="P33" s="327"/>
      <c r="Q33" s="327"/>
      <c r="R33" s="18"/>
      <c r="S33" s="18"/>
      <c r="T33" s="18"/>
      <c r="U33" s="18"/>
      <c r="V33" s="18"/>
      <c r="W33" s="18"/>
      <c r="X33" s="18"/>
      <c r="Y33" s="333" t="s">
        <v>132</v>
      </c>
      <c r="Z33" s="334"/>
      <c r="AA33" s="335"/>
      <c r="AB33" s="18"/>
      <c r="AC33" s="18"/>
      <c r="AD33" s="18"/>
      <c r="AE33" s="18"/>
      <c r="AF33" s="210"/>
      <c r="AG33" s="239"/>
      <c r="AJ33" s="35" t="s">
        <v>3</v>
      </c>
      <c r="AK33" s="267">
        <v>15</v>
      </c>
      <c r="AL33" s="271">
        <v>15</v>
      </c>
      <c r="AM33" s="271">
        <v>0</v>
      </c>
      <c r="AN33" s="271"/>
      <c r="AO33" s="271">
        <f t="shared" si="6"/>
        <v>15</v>
      </c>
      <c r="AP33" s="271">
        <f>SUM(AO29:AO33)</f>
        <v>56</v>
      </c>
      <c r="AQ33" s="3">
        <f t="shared" si="7"/>
        <v>1</v>
      </c>
      <c r="AR33" s="271">
        <v>9</v>
      </c>
      <c r="AS33" s="271">
        <v>9</v>
      </c>
      <c r="AT33" s="274">
        <v>0</v>
      </c>
      <c r="AU33" s="274">
        <f t="shared" si="8"/>
        <v>9</v>
      </c>
      <c r="AV33" s="274">
        <f>SUM(AU29:AU33)</f>
        <v>33</v>
      </c>
      <c r="AW33" s="3">
        <f t="shared" si="12"/>
        <v>1</v>
      </c>
      <c r="AX33">
        <f t="shared" si="10"/>
        <v>24</v>
      </c>
      <c r="AY33" s="3">
        <f t="shared" si="11"/>
        <v>1</v>
      </c>
    </row>
    <row r="34" spans="2:51" hidden="1" x14ac:dyDescent="0.2">
      <c r="B34" s="536" t="s">
        <v>50</v>
      </c>
      <c r="C34" s="19"/>
      <c r="D34" s="19"/>
      <c r="E34" s="19"/>
      <c r="F34" s="19"/>
      <c r="G34" s="19"/>
      <c r="H34" s="330" t="s">
        <v>6</v>
      </c>
      <c r="I34" s="331"/>
      <c r="J34" s="332"/>
      <c r="K34" s="19"/>
      <c r="L34" s="19"/>
      <c r="M34" s="19"/>
      <c r="N34" s="330" t="s">
        <v>51</v>
      </c>
      <c r="O34" s="331"/>
      <c r="P34" s="332"/>
      <c r="Q34" s="330" t="s">
        <v>157</v>
      </c>
      <c r="R34" s="331"/>
      <c r="S34" s="332"/>
      <c r="T34" s="19"/>
      <c r="U34" s="19"/>
      <c r="V34" s="19"/>
      <c r="W34" s="19"/>
      <c r="X34" s="19"/>
      <c r="Y34" s="328" t="s">
        <v>142</v>
      </c>
      <c r="Z34" s="329"/>
      <c r="AA34" s="329"/>
      <c r="AB34" s="329"/>
      <c r="AC34" s="326" t="s">
        <v>158</v>
      </c>
      <c r="AD34" s="326"/>
      <c r="AE34" s="326"/>
      <c r="AF34" s="209"/>
      <c r="AG34" s="239"/>
      <c r="AJ34" s="1" t="s">
        <v>48</v>
      </c>
      <c r="AK34" s="268">
        <v>9</v>
      </c>
      <c r="AL34" s="272">
        <v>9</v>
      </c>
      <c r="AM34" s="272">
        <v>0</v>
      </c>
      <c r="AN34" s="272"/>
      <c r="AO34" s="272">
        <f t="shared" si="6"/>
        <v>9</v>
      </c>
      <c r="AP34" s="273"/>
      <c r="AQ34" s="3">
        <f t="shared" si="7"/>
        <v>1</v>
      </c>
      <c r="AR34" s="272">
        <v>0</v>
      </c>
      <c r="AS34" s="272">
        <v>0</v>
      </c>
      <c r="AT34">
        <v>0</v>
      </c>
      <c r="AU34">
        <f t="shared" si="8"/>
        <v>0</v>
      </c>
      <c r="AW34" s="277" t="s">
        <v>4</v>
      </c>
      <c r="AX34">
        <f t="shared" si="10"/>
        <v>9</v>
      </c>
      <c r="AY34" s="3">
        <f t="shared" si="11"/>
        <v>1</v>
      </c>
    </row>
    <row r="35" spans="2:51" hidden="1" x14ac:dyDescent="0.2">
      <c r="B35" s="537"/>
      <c r="C35" s="333" t="s">
        <v>201</v>
      </c>
      <c r="D35" s="334"/>
      <c r="E35" s="335"/>
      <c r="F35" s="327" t="s">
        <v>200</v>
      </c>
      <c r="G35" s="327"/>
      <c r="H35" s="327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211" t="s">
        <v>212</v>
      </c>
      <c r="AG35" s="239"/>
      <c r="AJ35" s="1" t="s">
        <v>112</v>
      </c>
      <c r="AK35" s="268">
        <v>12</v>
      </c>
      <c r="AL35" s="272">
        <v>12</v>
      </c>
      <c r="AM35" s="272">
        <v>0</v>
      </c>
      <c r="AN35" s="272"/>
      <c r="AO35" s="272">
        <f t="shared" si="6"/>
        <v>12</v>
      </c>
      <c r="AP35" s="273"/>
      <c r="AQ35" s="3">
        <f t="shared" si="7"/>
        <v>1</v>
      </c>
      <c r="AR35" s="272">
        <v>3</v>
      </c>
      <c r="AS35" s="272">
        <v>0</v>
      </c>
      <c r="AT35">
        <v>0</v>
      </c>
      <c r="AU35">
        <f t="shared" si="8"/>
        <v>0</v>
      </c>
      <c r="AW35" s="3">
        <f>AU35/AR35</f>
        <v>0</v>
      </c>
      <c r="AX35">
        <f t="shared" si="10"/>
        <v>12</v>
      </c>
      <c r="AY35" s="3">
        <f t="shared" si="11"/>
        <v>0.8</v>
      </c>
    </row>
    <row r="36" spans="2:51" hidden="1" x14ac:dyDescent="0.2">
      <c r="B36" s="536" t="s">
        <v>57</v>
      </c>
      <c r="C36" s="330" t="s">
        <v>3</v>
      </c>
      <c r="D36" s="331"/>
      <c r="E36" s="332"/>
      <c r="F36" s="19"/>
      <c r="G36" s="19"/>
      <c r="H36" s="19"/>
      <c r="I36" s="19"/>
      <c r="J36" s="330" t="s">
        <v>160</v>
      </c>
      <c r="K36" s="331"/>
      <c r="L36" s="332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209"/>
      <c r="AG36" s="239"/>
      <c r="AJ36" s="1" t="s">
        <v>114</v>
      </c>
      <c r="AK36" s="268">
        <v>9</v>
      </c>
      <c r="AL36" s="272">
        <v>9</v>
      </c>
      <c r="AM36" s="272">
        <v>0</v>
      </c>
      <c r="AN36" s="272"/>
      <c r="AO36" s="272">
        <f t="shared" si="6"/>
        <v>9</v>
      </c>
      <c r="AP36" s="273"/>
      <c r="AQ36" s="3">
        <f t="shared" si="7"/>
        <v>1</v>
      </c>
      <c r="AR36" s="272">
        <v>0</v>
      </c>
      <c r="AS36" s="272">
        <v>0</v>
      </c>
      <c r="AT36">
        <v>0</v>
      </c>
      <c r="AU36">
        <f t="shared" si="8"/>
        <v>0</v>
      </c>
      <c r="AW36" s="277" t="s">
        <v>4</v>
      </c>
      <c r="AX36">
        <f t="shared" si="10"/>
        <v>9</v>
      </c>
      <c r="AY36" s="3">
        <f t="shared" si="11"/>
        <v>1</v>
      </c>
    </row>
    <row r="37" spans="2:51" hidden="1" x14ac:dyDescent="0.2">
      <c r="B37" s="537"/>
      <c r="C37" s="20"/>
      <c r="D37" s="20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33" t="s">
        <v>160</v>
      </c>
      <c r="P37" s="334"/>
      <c r="Q37" s="335"/>
      <c r="R37" s="18"/>
      <c r="S37" s="18"/>
      <c r="T37" s="327" t="s">
        <v>33</v>
      </c>
      <c r="U37" s="327"/>
      <c r="V37" s="327"/>
      <c r="W37" s="18"/>
      <c r="X37" s="18"/>
      <c r="Y37" s="18"/>
      <c r="Z37" s="18"/>
      <c r="AA37" s="18"/>
      <c r="AB37" s="18"/>
      <c r="AC37" s="18"/>
      <c r="AD37" s="18"/>
      <c r="AE37" s="18"/>
      <c r="AF37" s="212"/>
      <c r="AG37" s="239"/>
      <c r="AJ37" s="1" t="s">
        <v>115</v>
      </c>
      <c r="AK37" s="268">
        <v>13</v>
      </c>
      <c r="AL37" s="272">
        <v>13</v>
      </c>
      <c r="AM37" s="272">
        <v>0</v>
      </c>
      <c r="AN37" s="272"/>
      <c r="AO37" s="272">
        <f t="shared" si="6"/>
        <v>13</v>
      </c>
      <c r="AP37" s="273"/>
      <c r="AQ37" s="3">
        <f t="shared" si="7"/>
        <v>1</v>
      </c>
      <c r="AR37" s="272">
        <v>3</v>
      </c>
      <c r="AS37" s="272">
        <v>3</v>
      </c>
      <c r="AT37">
        <v>0</v>
      </c>
      <c r="AU37">
        <f t="shared" si="8"/>
        <v>3</v>
      </c>
      <c r="AW37" s="3">
        <f>AU37/AR37</f>
        <v>1</v>
      </c>
      <c r="AX37">
        <f t="shared" si="10"/>
        <v>16</v>
      </c>
      <c r="AY37" s="3">
        <f t="shared" si="11"/>
        <v>1</v>
      </c>
    </row>
    <row r="38" spans="2:51" hidden="1" x14ac:dyDescent="0.2">
      <c r="B38" s="538" t="s">
        <v>25</v>
      </c>
      <c r="C38" s="21"/>
      <c r="D38" s="326" t="s">
        <v>71</v>
      </c>
      <c r="E38" s="326"/>
      <c r="F38" s="326"/>
      <c r="G38" s="330" t="s">
        <v>77</v>
      </c>
      <c r="H38" s="331"/>
      <c r="I38" s="332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26" t="s">
        <v>72</v>
      </c>
      <c r="W38" s="326"/>
      <c r="X38" s="326"/>
      <c r="Y38" s="33"/>
      <c r="Z38" s="33"/>
      <c r="AA38" s="33"/>
      <c r="AB38" s="33"/>
      <c r="AC38" s="33"/>
      <c r="AD38" s="330" t="s">
        <v>161</v>
      </c>
      <c r="AE38" s="331"/>
      <c r="AF38" s="337"/>
      <c r="AG38" s="236"/>
      <c r="AJ38" s="1" t="s">
        <v>72</v>
      </c>
      <c r="AK38" s="268">
        <v>15</v>
      </c>
      <c r="AL38" s="272">
        <v>12</v>
      </c>
      <c r="AM38" s="272">
        <v>0</v>
      </c>
      <c r="AN38" s="272"/>
      <c r="AO38" s="272">
        <f t="shared" si="6"/>
        <v>12</v>
      </c>
      <c r="AP38" s="273"/>
      <c r="AQ38" s="3">
        <f t="shared" si="7"/>
        <v>0.8</v>
      </c>
      <c r="AR38" s="272">
        <v>9</v>
      </c>
      <c r="AS38" s="272">
        <v>9</v>
      </c>
      <c r="AT38">
        <v>0</v>
      </c>
      <c r="AU38">
        <f t="shared" si="8"/>
        <v>9</v>
      </c>
      <c r="AW38" s="3">
        <f>AU38/AR38</f>
        <v>1</v>
      </c>
      <c r="AX38">
        <f t="shared" si="10"/>
        <v>21</v>
      </c>
      <c r="AY38" s="3">
        <f t="shared" si="11"/>
        <v>0.875</v>
      </c>
    </row>
    <row r="39" spans="2:51" hidden="1" x14ac:dyDescent="0.2">
      <c r="B39" s="539"/>
      <c r="C39" s="22"/>
      <c r="D39" s="22"/>
      <c r="E39" s="67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333" t="s">
        <v>115</v>
      </c>
      <c r="W39" s="334"/>
      <c r="X39" s="335"/>
      <c r="Y39" s="327" t="s">
        <v>71</v>
      </c>
      <c r="Z39" s="327"/>
      <c r="AA39" s="327"/>
      <c r="AB39" s="81"/>
      <c r="AC39" s="81"/>
      <c r="AD39" s="81"/>
      <c r="AE39" s="81"/>
      <c r="AF39" s="213"/>
      <c r="AG39" s="236"/>
      <c r="AJ39" s="35" t="s">
        <v>77</v>
      </c>
      <c r="AK39" s="267">
        <v>16</v>
      </c>
      <c r="AL39" s="271">
        <v>16</v>
      </c>
      <c r="AM39" s="271">
        <v>0</v>
      </c>
      <c r="AN39" s="271"/>
      <c r="AO39" s="271">
        <f t="shared" si="6"/>
        <v>16</v>
      </c>
      <c r="AP39" s="271">
        <f>SUM(AO34:AO39)</f>
        <v>71</v>
      </c>
      <c r="AQ39" s="3">
        <f t="shared" si="7"/>
        <v>1</v>
      </c>
      <c r="AR39" s="271">
        <v>3</v>
      </c>
      <c r="AS39" s="271">
        <v>0</v>
      </c>
      <c r="AT39" s="274">
        <v>0</v>
      </c>
      <c r="AU39" s="274">
        <f t="shared" si="8"/>
        <v>0</v>
      </c>
      <c r="AV39" s="274">
        <f>SUM(AU34:AU39)</f>
        <v>12</v>
      </c>
      <c r="AW39" s="3">
        <f>AU39/AR39</f>
        <v>0</v>
      </c>
      <c r="AX39">
        <f t="shared" si="10"/>
        <v>16</v>
      </c>
      <c r="AY39" s="3">
        <f t="shared" si="11"/>
        <v>0.84210526315789469</v>
      </c>
    </row>
    <row r="40" spans="2:51" hidden="1" x14ac:dyDescent="0.2">
      <c r="B40" s="538" t="s">
        <v>11</v>
      </c>
      <c r="C40" s="19"/>
      <c r="D40" s="19"/>
      <c r="E40" s="19"/>
      <c r="F40" s="19"/>
      <c r="G40" s="19"/>
      <c r="H40" s="19"/>
      <c r="I40" s="326" t="s">
        <v>17</v>
      </c>
      <c r="J40" s="326"/>
      <c r="K40" s="326"/>
      <c r="L40" s="326" t="s">
        <v>80</v>
      </c>
      <c r="M40" s="326"/>
      <c r="N40" s="326"/>
      <c r="O40" s="19"/>
      <c r="P40" s="19"/>
      <c r="Q40" s="19"/>
      <c r="R40" s="19"/>
      <c r="S40" s="19"/>
      <c r="T40" s="328" t="s">
        <v>121</v>
      </c>
      <c r="U40" s="329"/>
      <c r="V40" s="329"/>
      <c r="W40" s="329"/>
      <c r="X40" s="19"/>
      <c r="Y40" s="19"/>
      <c r="Z40" s="19"/>
      <c r="AA40" s="19"/>
      <c r="AB40" s="330" t="s">
        <v>107</v>
      </c>
      <c r="AC40" s="331"/>
      <c r="AD40" s="332"/>
      <c r="AE40" s="19"/>
      <c r="AF40" s="209"/>
      <c r="AG40" s="239"/>
      <c r="AJ40" s="1" t="s">
        <v>17</v>
      </c>
      <c r="AK40" s="268">
        <v>9</v>
      </c>
      <c r="AL40" s="272">
        <v>9</v>
      </c>
      <c r="AM40" s="272">
        <v>0</v>
      </c>
      <c r="AN40" s="272"/>
      <c r="AO40" s="272">
        <f t="shared" si="6"/>
        <v>9</v>
      </c>
      <c r="AP40" s="273"/>
      <c r="AQ40" s="3">
        <f t="shared" si="7"/>
        <v>1</v>
      </c>
      <c r="AR40" s="272">
        <v>6</v>
      </c>
      <c r="AS40" s="272">
        <v>6</v>
      </c>
      <c r="AT40">
        <v>0</v>
      </c>
      <c r="AU40">
        <f t="shared" si="8"/>
        <v>6</v>
      </c>
      <c r="AW40" s="3">
        <f>AU40/AR40</f>
        <v>1</v>
      </c>
      <c r="AX40">
        <f t="shared" si="10"/>
        <v>15</v>
      </c>
      <c r="AY40" s="3">
        <f t="shared" si="11"/>
        <v>1</v>
      </c>
    </row>
    <row r="41" spans="2:51" hidden="1" x14ac:dyDescent="0.2">
      <c r="B41" s="540"/>
      <c r="C41" s="20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212"/>
      <c r="AG41" s="239"/>
      <c r="AJ41" s="1" t="s">
        <v>80</v>
      </c>
      <c r="AK41" s="268">
        <v>10</v>
      </c>
      <c r="AL41" s="272">
        <v>10</v>
      </c>
      <c r="AM41" s="272">
        <v>0</v>
      </c>
      <c r="AN41" s="272"/>
      <c r="AO41" s="272">
        <f t="shared" si="6"/>
        <v>10</v>
      </c>
      <c r="AP41" s="273"/>
      <c r="AQ41" s="3">
        <f t="shared" si="7"/>
        <v>1</v>
      </c>
      <c r="AR41" s="272">
        <v>6</v>
      </c>
      <c r="AS41" s="272">
        <v>3</v>
      </c>
      <c r="AT41">
        <v>0</v>
      </c>
      <c r="AU41">
        <f t="shared" si="8"/>
        <v>3</v>
      </c>
      <c r="AW41" s="3">
        <f>AU41/AR41</f>
        <v>0.5</v>
      </c>
      <c r="AX41">
        <f t="shared" si="10"/>
        <v>13</v>
      </c>
      <c r="AY41" s="3">
        <f t="shared" si="11"/>
        <v>0.8125</v>
      </c>
    </row>
    <row r="42" spans="2:51" x14ac:dyDescent="0.2">
      <c r="B42" s="4"/>
      <c r="AG42" s="240"/>
      <c r="AJ42" s="1" t="s">
        <v>16</v>
      </c>
      <c r="AK42" s="268">
        <v>15</v>
      </c>
      <c r="AL42" s="272">
        <v>15</v>
      </c>
      <c r="AM42" s="272">
        <v>0</v>
      </c>
      <c r="AN42" s="272"/>
      <c r="AO42" s="272">
        <f t="shared" si="6"/>
        <v>15</v>
      </c>
      <c r="AP42" s="273"/>
      <c r="AQ42" s="3">
        <f t="shared" si="7"/>
        <v>1</v>
      </c>
      <c r="AR42" s="272">
        <v>0</v>
      </c>
      <c r="AS42" s="272">
        <v>0</v>
      </c>
      <c r="AT42">
        <v>0</v>
      </c>
      <c r="AU42">
        <f t="shared" si="8"/>
        <v>0</v>
      </c>
      <c r="AW42" s="277" t="s">
        <v>4</v>
      </c>
      <c r="AX42">
        <f t="shared" si="10"/>
        <v>15</v>
      </c>
      <c r="AY42" s="3">
        <f t="shared" si="11"/>
        <v>1</v>
      </c>
    </row>
    <row r="43" spans="2:51" x14ac:dyDescent="0.2">
      <c r="B43" s="515" t="s">
        <v>120</v>
      </c>
      <c r="C43" s="8">
        <v>1</v>
      </c>
      <c r="D43" s="8">
        <v>2</v>
      </c>
      <c r="E43" s="8">
        <v>3</v>
      </c>
      <c r="F43" s="8">
        <v>4</v>
      </c>
      <c r="G43" s="8">
        <v>5</v>
      </c>
      <c r="H43" s="8">
        <v>6</v>
      </c>
      <c r="I43" s="8">
        <v>7</v>
      </c>
      <c r="J43" s="8">
        <v>8</v>
      </c>
      <c r="K43" s="8">
        <v>9</v>
      </c>
      <c r="L43" s="8">
        <v>10</v>
      </c>
      <c r="M43" s="8">
        <v>11</v>
      </c>
      <c r="N43" s="8">
        <v>12</v>
      </c>
      <c r="O43" s="8">
        <v>13</v>
      </c>
      <c r="P43" s="8">
        <v>14</v>
      </c>
      <c r="Q43" s="8">
        <v>15</v>
      </c>
      <c r="R43" s="8">
        <v>16</v>
      </c>
      <c r="S43" s="8">
        <v>17</v>
      </c>
      <c r="T43" s="8">
        <v>18</v>
      </c>
      <c r="U43" s="8">
        <v>19</v>
      </c>
      <c r="V43" s="8">
        <v>20</v>
      </c>
      <c r="W43" s="8">
        <v>21</v>
      </c>
      <c r="X43" s="8">
        <v>22</v>
      </c>
      <c r="Y43" s="8">
        <v>23</v>
      </c>
      <c r="Z43" s="8">
        <v>24</v>
      </c>
      <c r="AA43" s="8">
        <v>25</v>
      </c>
      <c r="AB43" s="8">
        <v>26</v>
      </c>
      <c r="AC43" s="8">
        <v>27</v>
      </c>
      <c r="AD43" s="8">
        <v>28</v>
      </c>
      <c r="AE43" s="8">
        <v>29</v>
      </c>
      <c r="AF43" s="144">
        <v>30</v>
      </c>
      <c r="AG43" s="241">
        <v>31</v>
      </c>
      <c r="AJ43" s="1" t="s">
        <v>27</v>
      </c>
      <c r="AK43" s="268">
        <v>12</v>
      </c>
      <c r="AL43" s="272">
        <v>12</v>
      </c>
      <c r="AM43" s="272">
        <v>0</v>
      </c>
      <c r="AN43" s="272"/>
      <c r="AO43" s="272">
        <f t="shared" si="6"/>
        <v>12</v>
      </c>
      <c r="AP43" s="273"/>
      <c r="AQ43" s="3">
        <f t="shared" si="7"/>
        <v>1</v>
      </c>
      <c r="AR43" s="272">
        <v>0</v>
      </c>
      <c r="AS43" s="272">
        <v>0</v>
      </c>
      <c r="AT43">
        <v>0</v>
      </c>
      <c r="AU43">
        <f t="shared" si="8"/>
        <v>0</v>
      </c>
      <c r="AW43" s="277" t="s">
        <v>4</v>
      </c>
      <c r="AX43">
        <f t="shared" si="10"/>
        <v>12</v>
      </c>
      <c r="AY43" s="3">
        <f t="shared" si="11"/>
        <v>1</v>
      </c>
    </row>
    <row r="44" spans="2:51" x14ac:dyDescent="0.2">
      <c r="B44" s="516"/>
      <c r="C44" s="23" t="s">
        <v>122</v>
      </c>
      <c r="D44" s="52" t="s">
        <v>30</v>
      </c>
      <c r="E44" s="52" t="s">
        <v>32</v>
      </c>
      <c r="F44" s="52" t="s">
        <v>2</v>
      </c>
      <c r="G44" s="52" t="s">
        <v>37</v>
      </c>
      <c r="H44" s="52" t="s">
        <v>21</v>
      </c>
      <c r="I44" s="23" t="s">
        <v>8</v>
      </c>
      <c r="J44" s="9" t="s">
        <v>29</v>
      </c>
      <c r="K44" s="52" t="s">
        <v>30</v>
      </c>
      <c r="L44" s="52" t="s">
        <v>32</v>
      </c>
      <c r="M44" s="23" t="s">
        <v>2</v>
      </c>
      <c r="N44" s="9" t="s">
        <v>37</v>
      </c>
      <c r="O44" s="23" t="s">
        <v>21</v>
      </c>
      <c r="P44" s="9" t="s">
        <v>8</v>
      </c>
      <c r="Q44" s="23" t="s">
        <v>29</v>
      </c>
      <c r="R44" s="52" t="s">
        <v>30</v>
      </c>
      <c r="S44" s="52" t="s">
        <v>32</v>
      </c>
      <c r="T44" s="9" t="s">
        <v>2</v>
      </c>
      <c r="U44" s="9" t="s">
        <v>37</v>
      </c>
      <c r="V44" s="9" t="s">
        <v>21</v>
      </c>
      <c r="W44" s="9" t="s">
        <v>8</v>
      </c>
      <c r="X44" s="9" t="s">
        <v>29</v>
      </c>
      <c r="Y44" s="52" t="s">
        <v>30</v>
      </c>
      <c r="Z44" s="52" t="s">
        <v>32</v>
      </c>
      <c r="AA44" s="23" t="s">
        <v>2</v>
      </c>
      <c r="AB44" s="9" t="s">
        <v>37</v>
      </c>
      <c r="AC44" s="23" t="s">
        <v>21</v>
      </c>
      <c r="AD44" s="9" t="s">
        <v>8</v>
      </c>
      <c r="AE44" s="194" t="s">
        <v>29</v>
      </c>
      <c r="AF44" s="52" t="s">
        <v>30</v>
      </c>
      <c r="AG44" s="242" t="s">
        <v>111</v>
      </c>
      <c r="AI44" s="266"/>
      <c r="AJ44" s="1" t="s">
        <v>44</v>
      </c>
      <c r="AK44" s="268">
        <v>9</v>
      </c>
      <c r="AL44" s="272">
        <v>9</v>
      </c>
      <c r="AM44" s="272">
        <v>0</v>
      </c>
      <c r="AN44" s="272"/>
      <c r="AO44" s="272">
        <f t="shared" si="6"/>
        <v>9</v>
      </c>
      <c r="AP44" s="273"/>
      <c r="AQ44" s="3">
        <f t="shared" si="7"/>
        <v>1</v>
      </c>
      <c r="AR44" s="272">
        <v>3</v>
      </c>
      <c r="AS44" s="272">
        <v>3</v>
      </c>
      <c r="AT44">
        <v>0</v>
      </c>
      <c r="AU44">
        <f t="shared" si="8"/>
        <v>3</v>
      </c>
      <c r="AW44" s="3">
        <f>AU44/AR44</f>
        <v>1</v>
      </c>
      <c r="AX44">
        <f t="shared" si="10"/>
        <v>12</v>
      </c>
      <c r="AY44" s="3">
        <f t="shared" si="11"/>
        <v>1</v>
      </c>
    </row>
    <row r="45" spans="2:51" ht="14.25" customHeight="1" x14ac:dyDescent="0.2">
      <c r="B45" s="558" t="s">
        <v>71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149"/>
      <c r="T45" s="559" t="s">
        <v>189</v>
      </c>
      <c r="U45" s="560"/>
      <c r="V45" s="560"/>
      <c r="W45" s="560"/>
      <c r="X45" s="561"/>
      <c r="Y45" s="172"/>
      <c r="Z45" s="179"/>
      <c r="AA45" s="284" t="s">
        <v>150</v>
      </c>
      <c r="AB45" s="285"/>
      <c r="AC45" s="285"/>
      <c r="AD45" s="179"/>
      <c r="AE45" s="179"/>
      <c r="AF45" s="179"/>
      <c r="AG45" s="179"/>
      <c r="AH45" s="265"/>
      <c r="AJ45" s="35" t="s">
        <v>107</v>
      </c>
      <c r="AK45" s="267">
        <v>9</v>
      </c>
      <c r="AL45" s="271">
        <v>9</v>
      </c>
      <c r="AM45" s="271">
        <v>0</v>
      </c>
      <c r="AN45" s="271"/>
      <c r="AO45" s="271">
        <f t="shared" si="6"/>
        <v>9</v>
      </c>
      <c r="AP45" s="271">
        <f>SUM(AO40:AO45)</f>
        <v>64</v>
      </c>
      <c r="AQ45" s="3">
        <f t="shared" si="7"/>
        <v>1</v>
      </c>
      <c r="AR45" s="271">
        <v>3</v>
      </c>
      <c r="AS45" s="271">
        <v>3</v>
      </c>
      <c r="AT45" s="274">
        <v>0</v>
      </c>
      <c r="AU45" s="274">
        <f t="shared" si="8"/>
        <v>3</v>
      </c>
      <c r="AV45" s="274">
        <f>SUM(AU40:AU45)</f>
        <v>15</v>
      </c>
      <c r="AW45" s="3">
        <f>AU45/AR45</f>
        <v>1</v>
      </c>
      <c r="AX45">
        <f t="shared" si="10"/>
        <v>12</v>
      </c>
      <c r="AY45" s="3">
        <f t="shared" si="11"/>
        <v>1</v>
      </c>
    </row>
    <row r="46" spans="2:51" x14ac:dyDescent="0.2">
      <c r="B46" s="523"/>
      <c r="C46" s="289" t="s">
        <v>164</v>
      </c>
      <c r="D46" s="290"/>
      <c r="E46" s="290"/>
      <c r="F46" s="290"/>
      <c r="G46" s="290"/>
      <c r="H46" s="338"/>
      <c r="I46" s="291" t="s">
        <v>107</v>
      </c>
      <c r="J46" s="292"/>
      <c r="K46" s="293"/>
      <c r="L46" s="10"/>
      <c r="M46" s="10"/>
      <c r="N46" s="10"/>
      <c r="O46" s="291" t="s">
        <v>115</v>
      </c>
      <c r="P46" s="292"/>
      <c r="Q46" s="293"/>
      <c r="R46" s="10"/>
      <c r="S46" s="150"/>
      <c r="T46" s="562"/>
      <c r="U46" s="563"/>
      <c r="V46" s="563"/>
      <c r="W46" s="563"/>
      <c r="X46" s="564"/>
      <c r="Y46" s="339" t="s">
        <v>24</v>
      </c>
      <c r="Z46" s="340"/>
      <c r="AA46" s="10"/>
      <c r="AB46" s="146"/>
      <c r="AC46" s="341" t="s">
        <v>79</v>
      </c>
      <c r="AD46" s="342"/>
      <c r="AE46" s="343"/>
      <c r="AF46" s="289" t="s">
        <v>134</v>
      </c>
      <c r="AG46" s="344"/>
      <c r="AK46" s="268"/>
      <c r="AL46" s="272"/>
      <c r="AM46" s="272"/>
      <c r="AN46" s="272"/>
      <c r="AO46" s="272">
        <f>SUM(AO4:AO45)</f>
        <v>494</v>
      </c>
      <c r="AP46" s="272"/>
    </row>
    <row r="47" spans="2:51" x14ac:dyDescent="0.2">
      <c r="B47" s="523"/>
      <c r="C47" s="25"/>
      <c r="D47" s="10"/>
      <c r="E47" s="10"/>
      <c r="F47" s="291" t="s">
        <v>215</v>
      </c>
      <c r="G47" s="292"/>
      <c r="H47" s="293"/>
      <c r="I47" s="10"/>
      <c r="J47" s="291" t="s">
        <v>207</v>
      </c>
      <c r="K47" s="292"/>
      <c r="L47" s="293"/>
      <c r="M47" s="291" t="s">
        <v>12</v>
      </c>
      <c r="N47" s="292"/>
      <c r="O47" s="293"/>
      <c r="P47" s="10"/>
      <c r="Q47" s="291" t="s">
        <v>62</v>
      </c>
      <c r="R47" s="292"/>
      <c r="S47" s="292"/>
      <c r="T47" s="562"/>
      <c r="U47" s="563"/>
      <c r="V47" s="563"/>
      <c r="W47" s="563"/>
      <c r="X47" s="564"/>
      <c r="Y47" s="173"/>
      <c r="Z47" s="10"/>
      <c r="AA47" s="345" t="s">
        <v>84</v>
      </c>
      <c r="AB47" s="346"/>
      <c r="AC47" s="347"/>
      <c r="AD47" s="345" t="s">
        <v>216</v>
      </c>
      <c r="AE47" s="346"/>
      <c r="AF47" s="347"/>
      <c r="AG47" s="243"/>
    </row>
    <row r="48" spans="2:51" ht="13.15" customHeight="1" x14ac:dyDescent="0.2">
      <c r="B48" s="523"/>
      <c r="C48" s="348" t="s">
        <v>171</v>
      </c>
      <c r="D48" s="348"/>
      <c r="E48" s="10"/>
      <c r="F48" s="10"/>
      <c r="G48" s="10"/>
      <c r="H48" s="10"/>
      <c r="I48" s="10"/>
      <c r="J48" s="295" t="s">
        <v>167</v>
      </c>
      <c r="K48" s="296"/>
      <c r="L48" s="297"/>
      <c r="M48" s="349" t="s">
        <v>215</v>
      </c>
      <c r="N48" s="350"/>
      <c r="O48" s="351"/>
      <c r="P48" s="10"/>
      <c r="Q48" s="352" t="s">
        <v>205</v>
      </c>
      <c r="R48" s="353"/>
      <c r="S48" s="353"/>
      <c r="T48" s="562"/>
      <c r="U48" s="563"/>
      <c r="V48" s="563"/>
      <c r="W48" s="563"/>
      <c r="X48" s="564"/>
      <c r="Y48" s="174"/>
      <c r="Z48" s="349" t="s">
        <v>210</v>
      </c>
      <c r="AA48" s="350"/>
      <c r="AB48" s="351"/>
      <c r="AC48" s="10"/>
      <c r="AD48" s="10"/>
      <c r="AE48" s="295" t="s">
        <v>217</v>
      </c>
      <c r="AF48" s="296"/>
      <c r="AG48" s="354"/>
    </row>
    <row r="49" spans="2:37" ht="13.15" customHeight="1" x14ac:dyDescent="0.2">
      <c r="B49" s="523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517" t="s">
        <v>196</v>
      </c>
      <c r="P49" s="10"/>
      <c r="Q49" s="10"/>
      <c r="R49" s="10"/>
      <c r="S49" s="151"/>
      <c r="T49" s="562"/>
      <c r="U49" s="563"/>
      <c r="V49" s="563"/>
      <c r="W49" s="563"/>
      <c r="X49" s="564"/>
      <c r="Y49" s="174"/>
      <c r="Z49" s="10"/>
      <c r="AA49" s="10"/>
      <c r="AB49" s="10"/>
      <c r="AC49" s="10"/>
      <c r="AD49" s="10"/>
      <c r="AE49" s="10"/>
      <c r="AF49" s="10"/>
      <c r="AG49" s="243"/>
    </row>
    <row r="50" spans="2:37" x14ac:dyDescent="0.2">
      <c r="B50" s="523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518"/>
      <c r="P50" s="10"/>
      <c r="Q50" s="10"/>
      <c r="R50" s="10"/>
      <c r="S50" s="151"/>
      <c r="T50" s="562"/>
      <c r="U50" s="563"/>
      <c r="V50" s="563"/>
      <c r="W50" s="563"/>
      <c r="X50" s="564"/>
      <c r="Y50" s="174"/>
      <c r="Z50" s="10"/>
      <c r="AA50" s="10"/>
      <c r="AB50" s="10"/>
      <c r="AC50" s="10"/>
      <c r="AD50" s="10"/>
      <c r="AE50" s="10"/>
      <c r="AF50" s="10"/>
      <c r="AG50" s="243"/>
    </row>
    <row r="51" spans="2:37" x14ac:dyDescent="0.2">
      <c r="B51" s="523"/>
      <c r="C51" s="27"/>
      <c r="D51" s="27"/>
      <c r="E51" s="10"/>
      <c r="F51" s="355" t="s">
        <v>211</v>
      </c>
      <c r="G51" s="355"/>
      <c r="H51" s="355"/>
      <c r="I51" s="10"/>
      <c r="J51" s="10"/>
      <c r="K51" s="356" t="s">
        <v>56</v>
      </c>
      <c r="L51" s="356"/>
      <c r="M51" s="356"/>
      <c r="N51" s="356"/>
      <c r="O51" s="518"/>
      <c r="P51" s="356" t="s">
        <v>166</v>
      </c>
      <c r="Q51" s="356"/>
      <c r="R51" s="356"/>
      <c r="S51" s="357"/>
      <c r="T51" s="562"/>
      <c r="U51" s="563"/>
      <c r="V51" s="563"/>
      <c r="W51" s="563"/>
      <c r="X51" s="564"/>
      <c r="Y51" s="358" t="s">
        <v>13</v>
      </c>
      <c r="Z51" s="355"/>
      <c r="AA51" s="355"/>
      <c r="AB51" s="10"/>
      <c r="AC51" s="10"/>
      <c r="AD51" s="298" t="s">
        <v>12</v>
      </c>
      <c r="AE51" s="298"/>
      <c r="AF51" s="298"/>
      <c r="AG51" s="204" t="s">
        <v>168</v>
      </c>
    </row>
    <row r="52" spans="2:37" x14ac:dyDescent="0.2">
      <c r="B52" s="523"/>
      <c r="C52" s="298" t="s">
        <v>82</v>
      </c>
      <c r="D52" s="298"/>
      <c r="E52" s="298"/>
      <c r="F52" s="10"/>
      <c r="G52" s="10"/>
      <c r="H52" s="298" t="s">
        <v>48</v>
      </c>
      <c r="I52" s="298"/>
      <c r="J52" s="298"/>
      <c r="K52" s="10"/>
      <c r="L52" s="10"/>
      <c r="M52" s="10"/>
      <c r="N52" s="10"/>
      <c r="O52" s="518"/>
      <c r="P52" s="10"/>
      <c r="Q52" s="10"/>
      <c r="R52" s="10"/>
      <c r="S52" s="151"/>
      <c r="T52" s="562"/>
      <c r="U52" s="563"/>
      <c r="V52" s="563"/>
      <c r="W52" s="563"/>
      <c r="X52" s="564"/>
      <c r="Y52" s="174"/>
      <c r="Z52" s="10"/>
      <c r="AA52" s="298" t="s">
        <v>44</v>
      </c>
      <c r="AB52" s="298"/>
      <c r="AC52" s="298"/>
      <c r="AD52" s="10"/>
      <c r="AE52" s="10"/>
      <c r="AF52" s="10"/>
      <c r="AG52" s="243"/>
    </row>
    <row r="53" spans="2:37" x14ac:dyDescent="0.2">
      <c r="B53" s="524"/>
      <c r="C53" s="28"/>
      <c r="D53" s="28"/>
      <c r="E53" s="318" t="s">
        <v>209</v>
      </c>
      <c r="F53" s="318"/>
      <c r="G53" s="318"/>
      <c r="H53" s="28"/>
      <c r="I53" s="318" t="s">
        <v>13</v>
      </c>
      <c r="J53" s="318"/>
      <c r="K53" s="318"/>
      <c r="L53" s="28"/>
      <c r="M53" s="114"/>
      <c r="N53" s="114"/>
      <c r="O53" s="541"/>
      <c r="P53" s="28"/>
      <c r="Q53" s="28"/>
      <c r="R53" s="28"/>
      <c r="S53" s="152"/>
      <c r="T53" s="565"/>
      <c r="U53" s="566"/>
      <c r="V53" s="566"/>
      <c r="W53" s="566"/>
      <c r="X53" s="567"/>
      <c r="Y53" s="175"/>
      <c r="Z53" s="28"/>
      <c r="AA53" s="28"/>
      <c r="AB53" s="318" t="s">
        <v>204</v>
      </c>
      <c r="AC53" s="318"/>
      <c r="AD53" s="318"/>
      <c r="AE53" s="28"/>
      <c r="AF53" s="359" t="s">
        <v>202</v>
      </c>
      <c r="AG53" s="360"/>
    </row>
    <row r="54" spans="2:37" ht="13.5" customHeight="1" x14ac:dyDescent="0.2">
      <c r="B54" s="519" t="s">
        <v>105</v>
      </c>
      <c r="C54" s="361" t="s">
        <v>164</v>
      </c>
      <c r="D54" s="362"/>
      <c r="E54" s="362"/>
      <c r="F54" s="362"/>
      <c r="G54" s="362"/>
      <c r="H54" s="363"/>
      <c r="I54" s="345" t="s">
        <v>107</v>
      </c>
      <c r="J54" s="346"/>
      <c r="K54" s="347"/>
      <c r="L54" s="119" t="s">
        <v>49</v>
      </c>
      <c r="M54" s="345" t="s">
        <v>12</v>
      </c>
      <c r="N54" s="346"/>
      <c r="O54" s="347"/>
      <c r="P54" s="136"/>
      <c r="Q54" s="90"/>
      <c r="R54" s="345" t="s">
        <v>62</v>
      </c>
      <c r="S54" s="346"/>
      <c r="T54" s="345" t="s">
        <v>61</v>
      </c>
      <c r="U54" s="346"/>
      <c r="V54" s="345" t="s">
        <v>84</v>
      </c>
      <c r="W54" s="364"/>
      <c r="X54" s="365"/>
      <c r="Y54" s="366" t="s">
        <v>24</v>
      </c>
      <c r="Z54" s="367"/>
      <c r="AA54" s="345" t="s">
        <v>84</v>
      </c>
      <c r="AB54" s="346"/>
      <c r="AC54" s="347"/>
      <c r="AD54" s="345" t="s">
        <v>79</v>
      </c>
      <c r="AE54" s="346"/>
      <c r="AF54" s="361" t="s">
        <v>134</v>
      </c>
      <c r="AG54" s="368"/>
    </row>
    <row r="55" spans="2:37" ht="13.5" customHeight="1" x14ac:dyDescent="0.2">
      <c r="B55" s="520"/>
      <c r="C55" s="29"/>
      <c r="D55" s="60"/>
      <c r="E55" s="68"/>
      <c r="F55" s="291" t="s">
        <v>215</v>
      </c>
      <c r="G55" s="292"/>
      <c r="H55" s="293"/>
      <c r="I55" s="89"/>
      <c r="J55" s="106"/>
      <c r="K55" s="111"/>
      <c r="L55" s="111"/>
      <c r="M55" s="53"/>
      <c r="N55" s="68"/>
      <c r="O55" s="291" t="s">
        <v>115</v>
      </c>
      <c r="P55" s="292"/>
      <c r="Q55" s="293"/>
      <c r="R55" s="131"/>
      <c r="S55" s="153"/>
      <c r="T55" s="131"/>
      <c r="U55" s="161"/>
      <c r="V55" s="53"/>
      <c r="W55" s="291" t="s">
        <v>59</v>
      </c>
      <c r="X55" s="292"/>
      <c r="Y55" s="293"/>
      <c r="Z55" s="157"/>
      <c r="AA55" s="106"/>
      <c r="AB55" s="185"/>
      <c r="AC55" s="185"/>
      <c r="AD55" s="345" t="s">
        <v>216</v>
      </c>
      <c r="AE55" s="346"/>
      <c r="AF55" s="347"/>
      <c r="AG55" s="244"/>
    </row>
    <row r="56" spans="2:37" x14ac:dyDescent="0.2">
      <c r="B56" s="521"/>
      <c r="C56" s="369" t="s">
        <v>13</v>
      </c>
      <c r="D56" s="370"/>
      <c r="E56" s="69" t="s">
        <v>288</v>
      </c>
      <c r="F56" s="82"/>
      <c r="G56" s="87"/>
      <c r="H56" s="82"/>
      <c r="I56" s="369" t="s">
        <v>48</v>
      </c>
      <c r="J56" s="370"/>
      <c r="K56" s="356" t="s">
        <v>56</v>
      </c>
      <c r="L56" s="356"/>
      <c r="M56" s="356"/>
      <c r="N56" s="356"/>
      <c r="O56" s="96"/>
      <c r="P56" s="356" t="s">
        <v>166</v>
      </c>
      <c r="Q56" s="356"/>
      <c r="R56" s="356"/>
      <c r="S56" s="356"/>
      <c r="T56" s="355" t="s">
        <v>74</v>
      </c>
      <c r="U56" s="355"/>
      <c r="V56" s="355"/>
      <c r="W56" s="165"/>
      <c r="X56" s="169"/>
      <c r="Y56" s="82"/>
      <c r="Z56" s="369" t="s">
        <v>13</v>
      </c>
      <c r="AA56" s="370"/>
      <c r="AB56" s="369" t="s">
        <v>44</v>
      </c>
      <c r="AC56" s="370"/>
      <c r="AD56" s="82"/>
      <c r="AE56" s="82"/>
      <c r="AF56" s="82"/>
      <c r="AG56" s="204" t="s">
        <v>168</v>
      </c>
    </row>
    <row r="57" spans="2:37" ht="13.5" customHeight="1" x14ac:dyDescent="0.2">
      <c r="B57" s="522" t="s">
        <v>103</v>
      </c>
      <c r="C57" s="312" t="s">
        <v>164</v>
      </c>
      <c r="D57" s="312"/>
      <c r="E57" s="312"/>
      <c r="F57" s="312"/>
      <c r="G57" s="312"/>
      <c r="H57" s="312"/>
      <c r="I57" s="101"/>
      <c r="J57" s="371" t="s">
        <v>207</v>
      </c>
      <c r="K57" s="372"/>
      <c r="L57" s="332"/>
      <c r="M57" s="313" t="s">
        <v>12</v>
      </c>
      <c r="N57" s="313"/>
      <c r="O57" s="313"/>
      <c r="P57" s="313" t="s">
        <v>115</v>
      </c>
      <c r="Q57" s="373"/>
      <c r="R57" s="101"/>
      <c r="S57" s="371" t="s">
        <v>61</v>
      </c>
      <c r="T57" s="331"/>
      <c r="U57" s="332"/>
      <c r="V57" s="313" t="s">
        <v>84</v>
      </c>
      <c r="W57" s="313"/>
      <c r="X57" s="313"/>
      <c r="Y57" s="374" t="s">
        <v>24</v>
      </c>
      <c r="Z57" s="374"/>
      <c r="AA57" s="313" t="s">
        <v>84</v>
      </c>
      <c r="AB57" s="313"/>
      <c r="AC57" s="313"/>
      <c r="AD57" s="313" t="s">
        <v>269</v>
      </c>
      <c r="AE57" s="313"/>
      <c r="AF57" s="312" t="s">
        <v>134</v>
      </c>
      <c r="AG57" s="375"/>
      <c r="AK57" s="130"/>
    </row>
    <row r="58" spans="2:37" x14ac:dyDescent="0.2">
      <c r="B58" s="523"/>
      <c r="C58" s="348" t="s">
        <v>171</v>
      </c>
      <c r="D58" s="348"/>
      <c r="E58" s="10"/>
      <c r="F58" s="315" t="s">
        <v>215</v>
      </c>
      <c r="G58" s="315"/>
      <c r="H58" s="315"/>
      <c r="I58" s="291" t="s">
        <v>107</v>
      </c>
      <c r="J58" s="292"/>
      <c r="K58" s="293"/>
      <c r="L58" s="120" t="s">
        <v>266</v>
      </c>
      <c r="M58" s="376" t="s">
        <v>215</v>
      </c>
      <c r="N58" s="376"/>
      <c r="O58" s="376"/>
      <c r="P58" s="10"/>
      <c r="Q58" s="291" t="s">
        <v>62</v>
      </c>
      <c r="R58" s="292"/>
      <c r="S58" s="293"/>
      <c r="T58" s="377" t="s">
        <v>77</v>
      </c>
      <c r="U58" s="377"/>
      <c r="V58" s="377"/>
      <c r="W58" s="315" t="s">
        <v>59</v>
      </c>
      <c r="X58" s="315"/>
      <c r="Y58" s="315"/>
      <c r="Z58" s="376" t="s">
        <v>210</v>
      </c>
      <c r="AA58" s="376"/>
      <c r="AB58" s="376"/>
      <c r="AC58" s="378" t="s">
        <v>79</v>
      </c>
      <c r="AD58" s="378"/>
      <c r="AE58" s="378"/>
      <c r="AF58" s="83" t="s">
        <v>269</v>
      </c>
      <c r="AG58" s="245" t="s">
        <v>258</v>
      </c>
    </row>
    <row r="59" spans="2:37" x14ac:dyDescent="0.2">
      <c r="B59" s="523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203"/>
    </row>
    <row r="60" spans="2:37" x14ac:dyDescent="0.2">
      <c r="B60" s="523"/>
      <c r="C60" s="379" t="s">
        <v>13</v>
      </c>
      <c r="D60" s="379"/>
      <c r="E60" s="11" t="s">
        <v>82</v>
      </c>
      <c r="F60" s="298" t="s">
        <v>211</v>
      </c>
      <c r="G60" s="298"/>
      <c r="H60" s="298"/>
      <c r="I60" s="298" t="s">
        <v>48</v>
      </c>
      <c r="J60" s="298"/>
      <c r="K60" s="356" t="s">
        <v>56</v>
      </c>
      <c r="L60" s="356"/>
      <c r="M60" s="356"/>
      <c r="N60" s="356"/>
      <c r="O60" s="10"/>
      <c r="P60" s="356" t="s">
        <v>166</v>
      </c>
      <c r="Q60" s="356"/>
      <c r="R60" s="356"/>
      <c r="S60" s="356"/>
      <c r="T60" s="298" t="s">
        <v>74</v>
      </c>
      <c r="U60" s="298"/>
      <c r="V60" s="298"/>
      <c r="W60" s="298" t="s">
        <v>238</v>
      </c>
      <c r="X60" s="298"/>
      <c r="Y60" s="298" t="s">
        <v>13</v>
      </c>
      <c r="Z60" s="298"/>
      <c r="AA60" s="298"/>
      <c r="AB60" s="298" t="s">
        <v>44</v>
      </c>
      <c r="AC60" s="298"/>
      <c r="AD60" s="298" t="s">
        <v>12</v>
      </c>
      <c r="AE60" s="298"/>
      <c r="AF60" s="298"/>
      <c r="AG60" s="204" t="s">
        <v>168</v>
      </c>
    </row>
    <row r="61" spans="2:37" x14ac:dyDescent="0.2">
      <c r="B61" s="524"/>
      <c r="C61" s="307" t="s">
        <v>82</v>
      </c>
      <c r="D61" s="307"/>
      <c r="E61" s="318" t="s">
        <v>209</v>
      </c>
      <c r="F61" s="318"/>
      <c r="G61" s="318"/>
      <c r="H61" s="31" t="s">
        <v>48</v>
      </c>
      <c r="I61" s="318" t="s">
        <v>13</v>
      </c>
      <c r="J61" s="318"/>
      <c r="K61" s="318"/>
      <c r="L61" s="28"/>
      <c r="M61" s="318" t="s">
        <v>209</v>
      </c>
      <c r="N61" s="318"/>
      <c r="O61" s="318"/>
      <c r="P61" s="28"/>
      <c r="Q61" s="28"/>
      <c r="R61" s="28"/>
      <c r="S61" s="318" t="s">
        <v>194</v>
      </c>
      <c r="T61" s="318"/>
      <c r="U61" s="318"/>
      <c r="V61" s="32" t="s">
        <v>268</v>
      </c>
      <c r="W61" s="28"/>
      <c r="X61" s="318" t="s">
        <v>99</v>
      </c>
      <c r="Y61" s="318"/>
      <c r="Z61" s="318"/>
      <c r="AA61" s="31" t="s">
        <v>44</v>
      </c>
      <c r="AB61" s="318" t="s">
        <v>204</v>
      </c>
      <c r="AC61" s="318"/>
      <c r="AD61" s="318"/>
      <c r="AE61" s="28"/>
      <c r="AF61" s="359" t="s">
        <v>202</v>
      </c>
      <c r="AG61" s="360"/>
    </row>
    <row r="62" spans="2:37" ht="13.5" customHeight="1" x14ac:dyDescent="0.2">
      <c r="B62" s="542" t="s">
        <v>106</v>
      </c>
      <c r="C62" s="289" t="s">
        <v>164</v>
      </c>
      <c r="D62" s="290"/>
      <c r="E62" s="290"/>
      <c r="F62" s="290"/>
      <c r="G62" s="290"/>
      <c r="H62" s="338"/>
      <c r="I62" s="291" t="s">
        <v>107</v>
      </c>
      <c r="J62" s="292"/>
      <c r="K62" s="293"/>
      <c r="L62" s="121" t="s">
        <v>49</v>
      </c>
      <c r="M62" s="291" t="s">
        <v>12</v>
      </c>
      <c r="N62" s="292"/>
      <c r="O62" s="293"/>
      <c r="P62" s="380" t="s">
        <v>290</v>
      </c>
      <c r="Q62" s="381"/>
      <c r="R62" s="143"/>
      <c r="S62" s="371" t="s">
        <v>61</v>
      </c>
      <c r="T62" s="331"/>
      <c r="U62" s="332"/>
      <c r="V62" s="330" t="s">
        <v>84</v>
      </c>
      <c r="W62" s="372"/>
      <c r="X62" s="382"/>
      <c r="Y62" s="383" t="s">
        <v>24</v>
      </c>
      <c r="Z62" s="340"/>
      <c r="AA62" s="330" t="s">
        <v>84</v>
      </c>
      <c r="AB62" s="331"/>
      <c r="AC62" s="332"/>
      <c r="AD62" s="380" t="s">
        <v>79</v>
      </c>
      <c r="AE62" s="384"/>
      <c r="AF62" s="289" t="s">
        <v>134</v>
      </c>
      <c r="AG62" s="344"/>
    </row>
    <row r="63" spans="2:37" ht="13.5" customHeight="1" x14ac:dyDescent="0.2">
      <c r="B63" s="543"/>
      <c r="C63" s="348" t="s">
        <v>171</v>
      </c>
      <c r="D63" s="348"/>
      <c r="E63" s="70"/>
      <c r="F63" s="291" t="s">
        <v>215</v>
      </c>
      <c r="G63" s="292"/>
      <c r="H63" s="293"/>
      <c r="I63" s="70"/>
      <c r="J63" s="385" t="s">
        <v>294</v>
      </c>
      <c r="K63" s="386"/>
      <c r="L63" s="122" t="s">
        <v>295</v>
      </c>
      <c r="M63" s="349" t="s">
        <v>215</v>
      </c>
      <c r="N63" s="350"/>
      <c r="O63" s="351"/>
      <c r="P63" s="70"/>
      <c r="Q63" s="291" t="s">
        <v>62</v>
      </c>
      <c r="R63" s="292"/>
      <c r="S63" s="293"/>
      <c r="T63" s="316" t="s">
        <v>77</v>
      </c>
      <c r="U63" s="387"/>
      <c r="V63" s="317"/>
      <c r="W63" s="291" t="s">
        <v>59</v>
      </c>
      <c r="X63" s="292"/>
      <c r="Y63" s="293"/>
      <c r="Z63" s="349" t="s">
        <v>210</v>
      </c>
      <c r="AA63" s="350"/>
      <c r="AB63" s="351"/>
      <c r="AC63" s="189" t="s">
        <v>79</v>
      </c>
      <c r="AD63" s="345" t="s">
        <v>216</v>
      </c>
      <c r="AE63" s="346"/>
      <c r="AF63" s="347"/>
      <c r="AG63" s="246" t="s">
        <v>297</v>
      </c>
    </row>
    <row r="64" spans="2:37" x14ac:dyDescent="0.2">
      <c r="B64" s="544"/>
      <c r="C64" s="388" t="s">
        <v>82</v>
      </c>
      <c r="D64" s="388"/>
      <c r="E64" s="298"/>
      <c r="F64" s="355" t="s">
        <v>211</v>
      </c>
      <c r="G64" s="355"/>
      <c r="H64" s="355"/>
      <c r="I64" s="324" t="s">
        <v>48</v>
      </c>
      <c r="J64" s="325"/>
      <c r="K64" s="356" t="s">
        <v>56</v>
      </c>
      <c r="L64" s="356"/>
      <c r="M64" s="356"/>
      <c r="N64" s="356"/>
      <c r="O64" s="10"/>
      <c r="P64" s="356" t="s">
        <v>166</v>
      </c>
      <c r="Q64" s="356"/>
      <c r="R64" s="356"/>
      <c r="S64" s="356"/>
      <c r="T64" s="298" t="s">
        <v>74</v>
      </c>
      <c r="U64" s="298"/>
      <c r="V64" s="298"/>
      <c r="W64" s="10"/>
      <c r="X64" s="170" t="s">
        <v>295</v>
      </c>
      <c r="Y64" s="355" t="s">
        <v>13</v>
      </c>
      <c r="Z64" s="355"/>
      <c r="AA64" s="355"/>
      <c r="AB64" s="324" t="s">
        <v>44</v>
      </c>
      <c r="AC64" s="325"/>
      <c r="AD64" s="298" t="s">
        <v>12</v>
      </c>
      <c r="AE64" s="298"/>
      <c r="AF64" s="298"/>
      <c r="AG64" s="204" t="s">
        <v>168</v>
      </c>
    </row>
    <row r="65" spans="2:33" x14ac:dyDescent="0.2">
      <c r="B65" s="545"/>
      <c r="C65" s="389" t="s">
        <v>13</v>
      </c>
      <c r="D65" s="389"/>
      <c r="E65" s="318" t="s">
        <v>209</v>
      </c>
      <c r="F65" s="318"/>
      <c r="G65" s="318"/>
      <c r="H65" s="95" t="s">
        <v>48</v>
      </c>
      <c r="I65" s="318" t="s">
        <v>13</v>
      </c>
      <c r="J65" s="318"/>
      <c r="K65" s="318"/>
      <c r="L65" s="28"/>
      <c r="M65" s="318" t="s">
        <v>209</v>
      </c>
      <c r="N65" s="318"/>
      <c r="O65" s="318"/>
      <c r="P65" s="28"/>
      <c r="Q65" s="28"/>
      <c r="R65" s="28"/>
      <c r="S65" s="318" t="s">
        <v>194</v>
      </c>
      <c r="T65" s="318"/>
      <c r="U65" s="318"/>
      <c r="V65" s="389" t="s">
        <v>296</v>
      </c>
      <c r="W65" s="389"/>
      <c r="X65" s="318" t="s">
        <v>99</v>
      </c>
      <c r="Y65" s="318"/>
      <c r="Z65" s="318"/>
      <c r="AA65" s="95" t="s">
        <v>44</v>
      </c>
      <c r="AB65" s="318" t="s">
        <v>204</v>
      </c>
      <c r="AC65" s="318"/>
      <c r="AD65" s="318"/>
      <c r="AE65" s="28"/>
      <c r="AF65" s="359" t="s">
        <v>202</v>
      </c>
      <c r="AG65" s="360"/>
    </row>
    <row r="66" spans="2:33" ht="13.5" customHeight="1" x14ac:dyDescent="0.2"/>
    <row r="67" spans="2:33" hidden="1" x14ac:dyDescent="0.2">
      <c r="B67" s="534" t="s">
        <v>47</v>
      </c>
      <c r="C67" s="390" t="s">
        <v>13</v>
      </c>
      <c r="D67" s="390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91" t="s">
        <v>166</v>
      </c>
      <c r="Q67" s="391"/>
      <c r="R67" s="391"/>
      <c r="S67" s="391"/>
      <c r="T67" s="33"/>
      <c r="U67" s="392" t="s">
        <v>256</v>
      </c>
      <c r="V67" s="393"/>
      <c r="W67" s="393"/>
      <c r="X67" s="33"/>
      <c r="Y67" s="326" t="s">
        <v>13</v>
      </c>
      <c r="Z67" s="326"/>
      <c r="AA67" s="326"/>
      <c r="AB67" s="33"/>
      <c r="AC67" s="33"/>
      <c r="AD67" s="33"/>
      <c r="AE67" s="33"/>
      <c r="AF67" s="33"/>
      <c r="AG67" s="247"/>
    </row>
    <row r="68" spans="2:33" hidden="1" x14ac:dyDescent="0.2">
      <c r="B68" s="535"/>
      <c r="C68" s="17"/>
      <c r="D68" s="17"/>
      <c r="E68" s="17"/>
      <c r="F68" s="17"/>
      <c r="G68" s="17"/>
      <c r="H68" s="17"/>
      <c r="I68" s="327" t="s">
        <v>13</v>
      </c>
      <c r="J68" s="327"/>
      <c r="K68" s="32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394" t="s">
        <v>202</v>
      </c>
      <c r="AG68" s="395"/>
    </row>
    <row r="69" spans="2:33" hidden="1" x14ac:dyDescent="0.2">
      <c r="B69" s="538" t="s">
        <v>41</v>
      </c>
      <c r="C69" s="33"/>
      <c r="D69" s="33"/>
      <c r="E69" s="33"/>
      <c r="F69" s="33"/>
      <c r="G69" s="33"/>
      <c r="H69" s="33"/>
      <c r="I69" s="33"/>
      <c r="J69" s="330" t="s">
        <v>207</v>
      </c>
      <c r="K69" s="331"/>
      <c r="L69" s="332"/>
      <c r="M69" s="33"/>
      <c r="N69" s="33"/>
      <c r="O69" s="33"/>
      <c r="P69" s="33"/>
      <c r="Q69" s="33"/>
      <c r="R69" s="33"/>
      <c r="S69" s="33"/>
      <c r="T69" s="326" t="s">
        <v>74</v>
      </c>
      <c r="U69" s="326"/>
      <c r="V69" s="326"/>
      <c r="W69" s="330" t="s">
        <v>59</v>
      </c>
      <c r="X69" s="331"/>
      <c r="Y69" s="332"/>
      <c r="Z69" s="33"/>
      <c r="AA69" s="33"/>
      <c r="AB69" s="33"/>
      <c r="AC69" s="396" t="s">
        <v>79</v>
      </c>
      <c r="AD69" s="397"/>
      <c r="AE69" s="398"/>
      <c r="AF69" s="328" t="s">
        <v>134</v>
      </c>
      <c r="AG69" s="399"/>
    </row>
    <row r="70" spans="2:33" hidden="1" x14ac:dyDescent="0.2">
      <c r="B70" s="540"/>
      <c r="C70" s="17"/>
      <c r="D70" s="42"/>
      <c r="E70" s="327" t="s">
        <v>209</v>
      </c>
      <c r="F70" s="327"/>
      <c r="G70" s="327"/>
      <c r="H70" s="42"/>
      <c r="I70" s="42"/>
      <c r="J70" s="42"/>
      <c r="K70" s="42"/>
      <c r="L70" s="42"/>
      <c r="M70" s="327" t="s">
        <v>209</v>
      </c>
      <c r="N70" s="327"/>
      <c r="O70" s="327"/>
      <c r="P70" s="42"/>
      <c r="Q70" s="400" t="s">
        <v>205</v>
      </c>
      <c r="R70" s="401"/>
      <c r="S70" s="402"/>
      <c r="T70" s="42"/>
      <c r="U70" s="42"/>
      <c r="V70" s="42"/>
      <c r="W70" s="42"/>
      <c r="X70" s="42"/>
      <c r="Y70" s="42"/>
      <c r="Z70" s="17"/>
      <c r="AA70" s="17"/>
      <c r="AB70" s="327" t="s">
        <v>204</v>
      </c>
      <c r="AC70" s="327"/>
      <c r="AD70" s="327"/>
      <c r="AE70" s="17"/>
      <c r="AF70" s="17"/>
      <c r="AG70" s="207"/>
    </row>
    <row r="71" spans="2:33" hidden="1" x14ac:dyDescent="0.2">
      <c r="B71" s="538" t="s">
        <v>28</v>
      </c>
      <c r="C71" s="289" t="s">
        <v>164</v>
      </c>
      <c r="D71" s="290"/>
      <c r="E71" s="290"/>
      <c r="F71" s="290"/>
      <c r="G71" s="290"/>
      <c r="H71" s="338"/>
      <c r="I71" s="33"/>
      <c r="J71" s="33"/>
      <c r="K71" s="33"/>
      <c r="L71" s="33"/>
      <c r="M71" s="330" t="s">
        <v>12</v>
      </c>
      <c r="N71" s="331"/>
      <c r="O71" s="332"/>
      <c r="P71" s="33"/>
      <c r="Q71" s="330" t="s">
        <v>62</v>
      </c>
      <c r="R71" s="331"/>
      <c r="S71" s="332"/>
      <c r="T71" s="33"/>
      <c r="U71" s="33"/>
      <c r="V71" s="33"/>
      <c r="W71" s="33"/>
      <c r="X71" s="33"/>
      <c r="Y71" s="33"/>
      <c r="Z71" s="403" t="s">
        <v>210</v>
      </c>
      <c r="AA71" s="404"/>
      <c r="AB71" s="405"/>
      <c r="AC71" s="33"/>
      <c r="AD71" s="326" t="s">
        <v>12</v>
      </c>
      <c r="AE71" s="326"/>
      <c r="AF71" s="326"/>
      <c r="AG71" s="206" t="s">
        <v>168</v>
      </c>
    </row>
    <row r="72" spans="2:33" hidden="1" x14ac:dyDescent="0.2">
      <c r="B72" s="540"/>
      <c r="C72" s="17"/>
      <c r="D72" s="17"/>
      <c r="E72" s="17"/>
      <c r="F72" s="17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327" t="s">
        <v>99</v>
      </c>
      <c r="Y72" s="327"/>
      <c r="Z72" s="327"/>
      <c r="AA72" s="42"/>
      <c r="AB72" s="42"/>
      <c r="AC72" s="42"/>
      <c r="AD72" s="42"/>
      <c r="AE72" s="42"/>
      <c r="AF72" s="42"/>
      <c r="AG72" s="207"/>
    </row>
    <row r="73" spans="2:33" hidden="1" x14ac:dyDescent="0.2">
      <c r="B73" s="538" t="s">
        <v>50</v>
      </c>
      <c r="C73" s="33"/>
      <c r="D73" s="33"/>
      <c r="E73" s="33"/>
      <c r="F73" s="326" t="s">
        <v>211</v>
      </c>
      <c r="G73" s="326"/>
      <c r="H73" s="326"/>
      <c r="I73" s="33"/>
      <c r="J73" s="33"/>
      <c r="K73" s="356" t="s">
        <v>56</v>
      </c>
      <c r="L73" s="356"/>
      <c r="M73" s="356"/>
      <c r="N73" s="356"/>
      <c r="O73" s="33"/>
      <c r="P73" s="33"/>
      <c r="Q73" s="33"/>
      <c r="R73" s="33"/>
      <c r="S73" s="33"/>
      <c r="T73" s="33"/>
      <c r="U73" s="33"/>
      <c r="V73" s="330" t="s">
        <v>84</v>
      </c>
      <c r="W73" s="331"/>
      <c r="X73" s="332"/>
      <c r="Y73" s="33"/>
      <c r="Z73" s="33"/>
      <c r="AA73" s="330" t="s">
        <v>84</v>
      </c>
      <c r="AB73" s="331"/>
      <c r="AC73" s="332"/>
      <c r="AD73" s="33"/>
      <c r="AE73" s="33"/>
      <c r="AF73" s="33"/>
      <c r="AG73" s="247"/>
    </row>
    <row r="74" spans="2:33" hidden="1" x14ac:dyDescent="0.2">
      <c r="B74" s="540"/>
      <c r="C74" s="406" t="s">
        <v>171</v>
      </c>
      <c r="D74" s="406"/>
      <c r="E74" s="42"/>
      <c r="F74" s="17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207"/>
    </row>
    <row r="75" spans="2:33" hidden="1" x14ac:dyDescent="0.2">
      <c r="B75" s="538" t="s">
        <v>57</v>
      </c>
      <c r="C75" s="326" t="s">
        <v>82</v>
      </c>
      <c r="D75" s="326"/>
      <c r="E75" s="326"/>
      <c r="F75" s="330" t="s">
        <v>215</v>
      </c>
      <c r="G75" s="331"/>
      <c r="H75" s="332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0" t="s">
        <v>61</v>
      </c>
      <c r="T75" s="331"/>
      <c r="U75" s="332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247"/>
    </row>
    <row r="76" spans="2:33" hidden="1" x14ac:dyDescent="0.2">
      <c r="B76" s="540"/>
      <c r="C76" s="17"/>
      <c r="D76" s="42"/>
      <c r="E76" s="42"/>
      <c r="F76" s="42"/>
      <c r="G76" s="42"/>
      <c r="H76" s="42"/>
      <c r="I76" s="42"/>
      <c r="J76" s="42"/>
      <c r="K76" s="42"/>
      <c r="L76" s="42"/>
      <c r="M76" s="407" t="s">
        <v>215</v>
      </c>
      <c r="N76" s="408"/>
      <c r="O76" s="409"/>
      <c r="P76" s="42"/>
      <c r="Q76" s="42"/>
      <c r="R76" s="42"/>
      <c r="S76" s="42"/>
      <c r="T76" s="42"/>
      <c r="U76" s="42"/>
      <c r="V76" s="407" t="s">
        <v>244</v>
      </c>
      <c r="W76" s="408"/>
      <c r="X76" s="409"/>
      <c r="Y76" s="42"/>
      <c r="Z76" s="42"/>
      <c r="AA76" s="42"/>
      <c r="AB76" s="42"/>
      <c r="AC76" s="42"/>
      <c r="AD76" s="42"/>
      <c r="AE76" s="42"/>
      <c r="AF76" s="42"/>
      <c r="AG76" s="207"/>
    </row>
    <row r="77" spans="2:33" hidden="1" x14ac:dyDescent="0.2">
      <c r="B77" s="538" t="s">
        <v>25</v>
      </c>
      <c r="C77" s="33"/>
      <c r="D77" s="33"/>
      <c r="E77" s="71"/>
      <c r="F77" s="33"/>
      <c r="G77" s="33"/>
      <c r="H77" s="326" t="s">
        <v>48</v>
      </c>
      <c r="I77" s="326"/>
      <c r="J77" s="326"/>
      <c r="K77" s="41"/>
      <c r="L77" s="41"/>
      <c r="M77" s="41"/>
      <c r="N77" s="33"/>
      <c r="O77" s="330" t="s">
        <v>115</v>
      </c>
      <c r="P77" s="331"/>
      <c r="Q77" s="332"/>
      <c r="R77" s="41"/>
      <c r="S77" s="41"/>
      <c r="T77" s="33"/>
      <c r="U77" s="33"/>
      <c r="V77" s="326" t="s">
        <v>238</v>
      </c>
      <c r="W77" s="326"/>
      <c r="X77" s="326"/>
      <c r="Y77" s="33"/>
      <c r="Z77" s="41"/>
      <c r="AA77" s="33"/>
      <c r="AB77" s="33"/>
      <c r="AC77" s="33"/>
      <c r="AD77" s="330" t="s">
        <v>216</v>
      </c>
      <c r="AE77" s="331"/>
      <c r="AF77" s="332"/>
      <c r="AG77" s="247"/>
    </row>
    <row r="78" spans="2:33" hidden="1" x14ac:dyDescent="0.2">
      <c r="B78" s="540"/>
      <c r="C78" s="35"/>
      <c r="D78" s="57"/>
      <c r="E78" s="72"/>
      <c r="F78" s="72"/>
      <c r="G78" s="63"/>
      <c r="H78" s="63"/>
      <c r="I78" s="63"/>
      <c r="J78" s="333" t="s">
        <v>167</v>
      </c>
      <c r="K78" s="334"/>
      <c r="L78" s="335"/>
      <c r="M78" s="63"/>
      <c r="N78" s="63"/>
      <c r="O78" s="63"/>
      <c r="P78" s="63"/>
      <c r="Q78" s="63"/>
      <c r="R78" s="63"/>
      <c r="S78" s="63"/>
      <c r="T78" s="333" t="s">
        <v>77</v>
      </c>
      <c r="U78" s="334"/>
      <c r="V78" s="335"/>
      <c r="W78" s="63"/>
      <c r="X78" s="63"/>
      <c r="Y78" s="63"/>
      <c r="Z78" s="63"/>
      <c r="AA78" s="63"/>
      <c r="AB78" s="63"/>
      <c r="AC78" s="63"/>
      <c r="AD78" s="63"/>
      <c r="AE78" s="42"/>
      <c r="AF78" s="42"/>
      <c r="AG78" s="207"/>
    </row>
    <row r="79" spans="2:33" hidden="1" x14ac:dyDescent="0.2">
      <c r="B79" s="538" t="s">
        <v>11</v>
      </c>
      <c r="C79" s="33"/>
      <c r="D79" s="33"/>
      <c r="E79" s="33"/>
      <c r="F79" s="33"/>
      <c r="G79" s="33"/>
      <c r="H79" s="33"/>
      <c r="I79" s="330" t="s">
        <v>107</v>
      </c>
      <c r="J79" s="331"/>
      <c r="K79" s="332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410" t="s">
        <v>24</v>
      </c>
      <c r="Z79" s="340"/>
      <c r="AA79" s="326" t="s">
        <v>44</v>
      </c>
      <c r="AB79" s="326"/>
      <c r="AC79" s="326"/>
      <c r="AD79" s="33"/>
      <c r="AE79" s="33"/>
      <c r="AF79" s="33"/>
      <c r="AG79" s="247"/>
    </row>
    <row r="80" spans="2:33" hidden="1" x14ac:dyDescent="0.2">
      <c r="B80" s="540"/>
      <c r="C80" s="17"/>
      <c r="D80" s="17"/>
      <c r="E80" s="17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327" t="s">
        <v>194</v>
      </c>
      <c r="T80" s="327"/>
      <c r="U80" s="327"/>
      <c r="V80" s="42"/>
      <c r="W80" s="42"/>
      <c r="X80" s="42"/>
      <c r="Y80" s="42"/>
      <c r="Z80" s="42"/>
      <c r="AA80" s="42"/>
      <c r="AB80" s="42"/>
      <c r="AC80" s="42"/>
      <c r="AD80" s="42"/>
      <c r="AE80" s="333" t="s">
        <v>217</v>
      </c>
      <c r="AF80" s="334"/>
      <c r="AG80" s="411"/>
    </row>
    <row r="81" spans="2:33" x14ac:dyDescent="0.2">
      <c r="B81" s="5"/>
      <c r="AG81" s="2"/>
    </row>
    <row r="82" spans="2:33" x14ac:dyDescent="0.2">
      <c r="B82" s="515" t="s">
        <v>95</v>
      </c>
      <c r="C82" s="8">
        <v>1</v>
      </c>
      <c r="D82" s="8">
        <v>2</v>
      </c>
      <c r="E82" s="8">
        <v>3</v>
      </c>
      <c r="F82" s="8">
        <v>4</v>
      </c>
      <c r="G82" s="8">
        <v>5</v>
      </c>
      <c r="H82" s="8">
        <v>6</v>
      </c>
      <c r="I82" s="8">
        <v>7</v>
      </c>
      <c r="J82" s="8">
        <v>8</v>
      </c>
      <c r="K82" s="8">
        <v>9</v>
      </c>
      <c r="L82" s="8">
        <v>10</v>
      </c>
      <c r="M82" s="8">
        <v>11</v>
      </c>
      <c r="N82" s="8">
        <v>12</v>
      </c>
      <c r="O82" s="8">
        <v>13</v>
      </c>
      <c r="P82" s="8">
        <v>14</v>
      </c>
      <c r="Q82" s="8">
        <v>15</v>
      </c>
      <c r="R82" s="144">
        <v>16</v>
      </c>
      <c r="S82" s="8">
        <v>17</v>
      </c>
      <c r="T82" s="8">
        <v>18</v>
      </c>
      <c r="U82" s="8">
        <v>19</v>
      </c>
      <c r="V82" s="8">
        <v>20</v>
      </c>
      <c r="W82" s="45">
        <v>21</v>
      </c>
      <c r="X82" s="45">
        <v>22</v>
      </c>
      <c r="Y82" s="45">
        <v>23</v>
      </c>
      <c r="Z82" s="45">
        <v>24</v>
      </c>
      <c r="AA82" s="182">
        <v>25</v>
      </c>
      <c r="AB82" s="8">
        <v>26</v>
      </c>
      <c r="AC82" s="8">
        <v>27</v>
      </c>
      <c r="AD82" s="8">
        <v>28</v>
      </c>
      <c r="AE82" s="8">
        <v>29</v>
      </c>
      <c r="AF82" s="197">
        <v>30</v>
      </c>
    </row>
    <row r="83" spans="2:33" x14ac:dyDescent="0.2">
      <c r="B83" s="516"/>
      <c r="C83" s="23" t="s">
        <v>2</v>
      </c>
      <c r="D83" s="23" t="s">
        <v>37</v>
      </c>
      <c r="E83" s="23" t="s">
        <v>21</v>
      </c>
      <c r="F83" s="23" t="s">
        <v>8</v>
      </c>
      <c r="G83" s="23" t="s">
        <v>29</v>
      </c>
      <c r="H83" s="52" t="s">
        <v>30</v>
      </c>
      <c r="I83" s="52" t="s">
        <v>32</v>
      </c>
      <c r="J83" s="23" t="s">
        <v>2</v>
      </c>
      <c r="K83" s="23" t="s">
        <v>37</v>
      </c>
      <c r="L83" s="23" t="s">
        <v>21</v>
      </c>
      <c r="M83" s="23" t="s">
        <v>8</v>
      </c>
      <c r="N83" s="23" t="s">
        <v>29</v>
      </c>
      <c r="O83" s="52" t="s">
        <v>30</v>
      </c>
      <c r="P83" s="137" t="s">
        <v>32</v>
      </c>
      <c r="Q83" s="23" t="s">
        <v>2</v>
      </c>
      <c r="R83" s="23" t="s">
        <v>37</v>
      </c>
      <c r="S83" s="23" t="s">
        <v>21</v>
      </c>
      <c r="T83" s="23" t="s">
        <v>8</v>
      </c>
      <c r="U83" s="23" t="s">
        <v>29</v>
      </c>
      <c r="V83" s="52" t="s">
        <v>30</v>
      </c>
      <c r="W83" s="52" t="s">
        <v>32</v>
      </c>
      <c r="X83" s="23" t="s">
        <v>2</v>
      </c>
      <c r="Y83" s="176" t="s">
        <v>37</v>
      </c>
      <c r="Z83" s="23" t="s">
        <v>21</v>
      </c>
      <c r="AA83" s="23" t="s">
        <v>8</v>
      </c>
      <c r="AB83" s="23" t="s">
        <v>29</v>
      </c>
      <c r="AC83" s="52" t="s">
        <v>30</v>
      </c>
      <c r="AD83" s="52" t="s">
        <v>32</v>
      </c>
      <c r="AE83" s="23" t="s">
        <v>2</v>
      </c>
      <c r="AF83" s="198" t="s">
        <v>169</v>
      </c>
    </row>
    <row r="84" spans="2:33" x14ac:dyDescent="0.2">
      <c r="B84" s="558" t="s">
        <v>71</v>
      </c>
      <c r="C84" s="24"/>
      <c r="D84" s="24"/>
      <c r="E84" s="24"/>
      <c r="F84" s="24"/>
      <c r="G84" s="24"/>
      <c r="H84" s="24"/>
      <c r="I84" s="24"/>
      <c r="J84" s="24"/>
      <c r="K84" s="24"/>
      <c r="L84" s="568" t="s">
        <v>73</v>
      </c>
      <c r="M84" s="412" t="s">
        <v>170</v>
      </c>
      <c r="N84" s="413"/>
      <c r="O84" s="413"/>
      <c r="P84" s="41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84" t="s">
        <v>15</v>
      </c>
      <c r="AE84" s="285"/>
      <c r="AF84" s="415"/>
      <c r="AG84" s="56"/>
    </row>
    <row r="85" spans="2:33" x14ac:dyDescent="0.2">
      <c r="B85" s="523"/>
      <c r="C85" s="289" t="s">
        <v>134</v>
      </c>
      <c r="D85" s="338"/>
      <c r="E85" s="10"/>
      <c r="F85" s="289" t="s">
        <v>60</v>
      </c>
      <c r="G85" s="290"/>
      <c r="H85" s="290"/>
      <c r="I85" s="290"/>
      <c r="J85" s="10"/>
      <c r="K85" s="10"/>
      <c r="L85" s="569"/>
      <c r="M85" s="289" t="s">
        <v>172</v>
      </c>
      <c r="N85" s="290"/>
      <c r="O85" s="290"/>
      <c r="P85" s="290"/>
      <c r="Q85" s="10"/>
      <c r="R85" s="289" t="s">
        <v>124</v>
      </c>
      <c r="S85" s="290"/>
      <c r="T85" s="290"/>
      <c r="U85" s="290"/>
      <c r="V85" s="290"/>
      <c r="W85" s="338"/>
      <c r="X85" s="10"/>
      <c r="Y85" s="291" t="s">
        <v>61</v>
      </c>
      <c r="Z85" s="292"/>
      <c r="AA85" s="293"/>
      <c r="AB85" s="10"/>
      <c r="AC85" s="289" t="s">
        <v>123</v>
      </c>
      <c r="AD85" s="290"/>
      <c r="AE85" s="290"/>
      <c r="AF85" s="344"/>
      <c r="AG85" s="56" t="s">
        <v>100</v>
      </c>
    </row>
    <row r="86" spans="2:33" x14ac:dyDescent="0.2">
      <c r="B86" s="523"/>
      <c r="C86" s="345" t="s">
        <v>6</v>
      </c>
      <c r="D86" s="346"/>
      <c r="E86" s="347"/>
      <c r="F86" s="70"/>
      <c r="G86" s="70"/>
      <c r="H86" s="70"/>
      <c r="I86" s="345" t="s">
        <v>91</v>
      </c>
      <c r="J86" s="346"/>
      <c r="K86" s="347"/>
      <c r="L86" s="569"/>
      <c r="M86" s="70"/>
      <c r="N86" s="70"/>
      <c r="O86" s="345" t="s">
        <v>12</v>
      </c>
      <c r="P86" s="346"/>
      <c r="Q86" s="347"/>
      <c r="R86" s="70"/>
      <c r="S86" s="70"/>
      <c r="T86" s="70"/>
      <c r="U86" s="345" t="s">
        <v>156</v>
      </c>
      <c r="V86" s="346"/>
      <c r="W86" s="347"/>
      <c r="X86" s="345" t="s">
        <v>62</v>
      </c>
      <c r="Y86" s="346"/>
      <c r="Z86" s="347"/>
      <c r="AA86" s="345" t="s">
        <v>51</v>
      </c>
      <c r="AB86" s="346"/>
      <c r="AC86" s="347"/>
      <c r="AD86" s="70"/>
      <c r="AE86" s="416" t="s">
        <v>173</v>
      </c>
      <c r="AF86" s="417"/>
      <c r="AG86" s="56" t="s">
        <v>96</v>
      </c>
    </row>
    <row r="87" spans="2:33" x14ac:dyDescent="0.2">
      <c r="B87" s="523"/>
      <c r="C87" s="10"/>
      <c r="D87" s="10"/>
      <c r="E87" s="418" t="s">
        <v>67</v>
      </c>
      <c r="F87" s="419"/>
      <c r="G87" s="420"/>
      <c r="H87" s="10"/>
      <c r="I87" s="10"/>
      <c r="J87" s="10"/>
      <c r="K87" s="112"/>
      <c r="L87" s="569"/>
      <c r="M87" s="127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214"/>
      <c r="AG87" s="56"/>
    </row>
    <row r="88" spans="2:33" x14ac:dyDescent="0.2">
      <c r="B88" s="523"/>
      <c r="C88" s="316" t="s">
        <v>224</v>
      </c>
      <c r="D88" s="387"/>
      <c r="E88" s="317"/>
      <c r="F88" s="70"/>
      <c r="G88" s="70"/>
      <c r="H88" s="70"/>
      <c r="I88" s="70"/>
      <c r="J88" s="107"/>
      <c r="K88" s="113"/>
      <c r="L88" s="569"/>
      <c r="M88" s="70"/>
      <c r="N88" s="70"/>
      <c r="O88" s="421" t="s">
        <v>223</v>
      </c>
      <c r="P88" s="422"/>
      <c r="Q88" s="423"/>
      <c r="R88" s="316" t="s">
        <v>51</v>
      </c>
      <c r="S88" s="387"/>
      <c r="T88" s="317"/>
      <c r="U88" s="70"/>
      <c r="V88" s="70"/>
      <c r="W88" s="70"/>
      <c r="X88" s="424" t="s">
        <v>220</v>
      </c>
      <c r="Y88" s="425"/>
      <c r="Z88" s="426"/>
      <c r="AA88" s="70"/>
      <c r="AB88" s="70"/>
      <c r="AC88" s="70"/>
      <c r="AD88" s="70"/>
      <c r="AE88" s="70"/>
      <c r="AF88" s="214"/>
      <c r="AG88" s="56"/>
    </row>
    <row r="89" spans="2:33" x14ac:dyDescent="0.2">
      <c r="B89" s="523"/>
      <c r="C89" s="10"/>
      <c r="D89" s="10"/>
      <c r="E89" s="10"/>
      <c r="F89" s="10"/>
      <c r="G89" s="10"/>
      <c r="H89" s="10"/>
      <c r="I89" s="10"/>
      <c r="J89" s="10"/>
      <c r="K89" s="10"/>
      <c r="L89" s="569"/>
      <c r="M89" s="128"/>
      <c r="N89" s="127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70"/>
      <c r="AF89" s="214"/>
      <c r="AG89" s="56"/>
    </row>
    <row r="90" spans="2:33" x14ac:dyDescent="0.2">
      <c r="B90" s="523"/>
      <c r="C90" s="427" t="s">
        <v>18</v>
      </c>
      <c r="D90" s="427"/>
      <c r="E90" s="70"/>
      <c r="F90" s="355" t="s">
        <v>79</v>
      </c>
      <c r="G90" s="355"/>
      <c r="H90" s="355"/>
      <c r="I90" s="70"/>
      <c r="J90" s="108"/>
      <c r="K90" s="108"/>
      <c r="L90" s="569"/>
      <c r="M90" s="356" t="s">
        <v>226</v>
      </c>
      <c r="N90" s="356"/>
      <c r="O90" s="356"/>
      <c r="P90" s="356"/>
      <c r="Q90" s="355" t="s">
        <v>44</v>
      </c>
      <c r="R90" s="355"/>
      <c r="S90" s="355"/>
      <c r="T90" s="70"/>
      <c r="U90" s="70"/>
      <c r="V90" s="70"/>
      <c r="W90" s="70"/>
      <c r="X90" s="355" t="s">
        <v>80</v>
      </c>
      <c r="Y90" s="355"/>
      <c r="Z90" s="355"/>
      <c r="AA90" s="355" t="s">
        <v>18</v>
      </c>
      <c r="AB90" s="355"/>
      <c r="AC90" s="355"/>
      <c r="AD90" s="70"/>
      <c r="AE90" s="379" t="s">
        <v>16</v>
      </c>
      <c r="AF90" s="428"/>
      <c r="AG90" s="56" t="s">
        <v>116</v>
      </c>
    </row>
    <row r="91" spans="2:33" x14ac:dyDescent="0.2">
      <c r="B91" s="523"/>
      <c r="C91" s="10"/>
      <c r="D91" s="298" t="s">
        <v>38</v>
      </c>
      <c r="E91" s="298"/>
      <c r="F91" s="298"/>
      <c r="G91" s="10"/>
      <c r="H91" s="10"/>
      <c r="I91" s="298" t="s">
        <v>12</v>
      </c>
      <c r="J91" s="298"/>
      <c r="K91" s="298"/>
      <c r="L91" s="569"/>
      <c r="M91" s="10"/>
      <c r="N91" s="10"/>
      <c r="O91" s="10"/>
      <c r="P91" s="10"/>
      <c r="Q91" s="10"/>
      <c r="R91" s="10"/>
      <c r="S91" s="298" t="s">
        <v>74</v>
      </c>
      <c r="T91" s="298"/>
      <c r="U91" s="298"/>
      <c r="V91" s="298" t="s">
        <v>13</v>
      </c>
      <c r="W91" s="298"/>
      <c r="X91" s="298"/>
      <c r="Y91" s="10"/>
      <c r="Z91" s="10"/>
      <c r="AA91" s="10"/>
      <c r="AB91" s="429" t="s">
        <v>257</v>
      </c>
      <c r="AC91" s="429"/>
      <c r="AD91" s="429"/>
      <c r="AE91" s="70"/>
      <c r="AF91" s="204" t="s">
        <v>231</v>
      </c>
      <c r="AG91" s="56"/>
    </row>
    <row r="92" spans="2:33" x14ac:dyDescent="0.2">
      <c r="B92" s="524"/>
      <c r="C92" s="36" t="s">
        <v>155</v>
      </c>
      <c r="D92" s="28"/>
      <c r="E92" s="28"/>
      <c r="F92" s="28"/>
      <c r="G92" s="318" t="s">
        <v>219</v>
      </c>
      <c r="H92" s="318"/>
      <c r="I92" s="318"/>
      <c r="J92" s="28"/>
      <c r="K92" s="28"/>
      <c r="L92" s="570"/>
      <c r="M92" s="114"/>
      <c r="N92" s="114"/>
      <c r="O92" s="28"/>
      <c r="P92" s="114"/>
      <c r="Q92" s="114"/>
      <c r="R92" s="28"/>
      <c r="S92" s="28"/>
      <c r="T92" s="318" t="s">
        <v>17</v>
      </c>
      <c r="U92" s="318"/>
      <c r="V92" s="318"/>
      <c r="W92" s="28"/>
      <c r="X92" s="28"/>
      <c r="Y92" s="318" t="s">
        <v>222</v>
      </c>
      <c r="Z92" s="318"/>
      <c r="AA92" s="318"/>
      <c r="AB92" s="28"/>
      <c r="AC92" s="28"/>
      <c r="AD92" s="28"/>
      <c r="AE92" s="195"/>
      <c r="AF92" s="215"/>
      <c r="AG92" s="56"/>
    </row>
    <row r="93" spans="2:33" ht="13.5" customHeight="1" x14ac:dyDescent="0.2">
      <c r="B93" s="519" t="s">
        <v>105</v>
      </c>
      <c r="C93" s="361" t="s">
        <v>134</v>
      </c>
      <c r="D93" s="363"/>
      <c r="E93" s="73" t="s">
        <v>6</v>
      </c>
      <c r="F93" s="361" t="s">
        <v>60</v>
      </c>
      <c r="G93" s="362"/>
      <c r="H93" s="362"/>
      <c r="I93" s="362"/>
      <c r="J93" s="109"/>
      <c r="K93" s="109"/>
      <c r="L93" s="70"/>
      <c r="M93" s="361" t="s">
        <v>172</v>
      </c>
      <c r="N93" s="362"/>
      <c r="O93" s="362"/>
      <c r="P93" s="362"/>
      <c r="Q93" s="139" t="s">
        <v>289</v>
      </c>
      <c r="R93" s="361" t="s">
        <v>124</v>
      </c>
      <c r="S93" s="362"/>
      <c r="T93" s="362"/>
      <c r="U93" s="362"/>
      <c r="V93" s="362"/>
      <c r="W93" s="363"/>
      <c r="X93" s="345" t="s">
        <v>62</v>
      </c>
      <c r="Y93" s="346"/>
      <c r="Z93" s="347"/>
      <c r="AA93" s="183"/>
      <c r="AB93" s="92"/>
      <c r="AC93" s="361" t="s">
        <v>123</v>
      </c>
      <c r="AD93" s="362"/>
      <c r="AE93" s="362"/>
      <c r="AF93" s="368"/>
      <c r="AG93" s="248"/>
    </row>
    <row r="94" spans="2:33" ht="13.5" customHeight="1" x14ac:dyDescent="0.2">
      <c r="B94" s="520"/>
      <c r="C94" s="37"/>
      <c r="D94" s="61"/>
      <c r="E94" s="61"/>
      <c r="F94" s="61"/>
      <c r="G94" s="88"/>
      <c r="H94" s="37"/>
      <c r="I94" s="345" t="s">
        <v>91</v>
      </c>
      <c r="J94" s="346"/>
      <c r="K94" s="347"/>
      <c r="L94" s="88"/>
      <c r="M94" s="37"/>
      <c r="N94" s="61"/>
      <c r="O94" s="61"/>
      <c r="P94" s="61"/>
      <c r="Q94" s="61"/>
      <c r="R94" s="61"/>
      <c r="S94" s="84"/>
      <c r="T94" s="89"/>
      <c r="U94" s="89"/>
      <c r="V94" s="291" t="s">
        <v>156</v>
      </c>
      <c r="W94" s="292"/>
      <c r="X94" s="53"/>
      <c r="Y94" s="88"/>
      <c r="Z94" s="90"/>
      <c r="AA94" s="155"/>
      <c r="AB94" s="84"/>
      <c r="AC94" s="89"/>
      <c r="AD94" s="106"/>
      <c r="AE94" s="416" t="s">
        <v>173</v>
      </c>
      <c r="AF94" s="417"/>
      <c r="AG94" s="248"/>
    </row>
    <row r="95" spans="2:33" x14ac:dyDescent="0.2">
      <c r="B95" s="521"/>
      <c r="C95" s="427" t="s">
        <v>18</v>
      </c>
      <c r="D95" s="427"/>
      <c r="E95" s="427" t="s">
        <v>38</v>
      </c>
      <c r="F95" s="427"/>
      <c r="G95" s="427" t="s">
        <v>79</v>
      </c>
      <c r="H95" s="427"/>
      <c r="I95" s="96"/>
      <c r="J95" s="430" t="s">
        <v>270</v>
      </c>
      <c r="K95" s="430"/>
      <c r="L95" s="64"/>
      <c r="M95" s="356" t="s">
        <v>226</v>
      </c>
      <c r="N95" s="356"/>
      <c r="O95" s="356"/>
      <c r="P95" s="356"/>
      <c r="Q95" s="355" t="s">
        <v>44</v>
      </c>
      <c r="R95" s="355"/>
      <c r="S95" s="355"/>
      <c r="T95" s="427" t="s">
        <v>264</v>
      </c>
      <c r="U95" s="427"/>
      <c r="V95" s="64"/>
      <c r="W95" s="64"/>
      <c r="X95" s="355" t="s">
        <v>80</v>
      </c>
      <c r="Y95" s="355"/>
      <c r="Z95" s="355"/>
      <c r="AA95" s="64"/>
      <c r="AB95" s="64"/>
      <c r="AC95" s="427" t="s">
        <v>17</v>
      </c>
      <c r="AD95" s="427"/>
      <c r="AE95" s="64"/>
      <c r="AF95" s="216"/>
    </row>
    <row r="96" spans="2:33" ht="13.5" customHeight="1" x14ac:dyDescent="0.2">
      <c r="B96" s="522" t="s">
        <v>103</v>
      </c>
      <c r="C96" s="312" t="s">
        <v>134</v>
      </c>
      <c r="D96" s="312"/>
      <c r="E96" s="74" t="s">
        <v>206</v>
      </c>
      <c r="F96" s="312" t="s">
        <v>60</v>
      </c>
      <c r="G96" s="312"/>
      <c r="H96" s="312"/>
      <c r="I96" s="312"/>
      <c r="J96" s="431" t="s">
        <v>91</v>
      </c>
      <c r="K96" s="431"/>
      <c r="L96" s="15"/>
      <c r="M96" s="312" t="s">
        <v>172</v>
      </c>
      <c r="N96" s="312"/>
      <c r="O96" s="312"/>
      <c r="P96" s="312"/>
      <c r="Q96" s="74" t="s">
        <v>270</v>
      </c>
      <c r="R96" s="312" t="s">
        <v>124</v>
      </c>
      <c r="S96" s="312"/>
      <c r="T96" s="312"/>
      <c r="U96" s="312"/>
      <c r="V96" s="312"/>
      <c r="W96" s="312"/>
      <c r="X96" s="313" t="s">
        <v>62</v>
      </c>
      <c r="Y96" s="313"/>
      <c r="Z96" s="313"/>
      <c r="AA96" s="431" t="s">
        <v>51</v>
      </c>
      <c r="AB96" s="431"/>
      <c r="AC96" s="312" t="s">
        <v>123</v>
      </c>
      <c r="AD96" s="312"/>
      <c r="AE96" s="312"/>
      <c r="AF96" s="375"/>
      <c r="AG96" s="56"/>
    </row>
    <row r="97" spans="2:33" x14ac:dyDescent="0.2">
      <c r="B97" s="574"/>
      <c r="C97" s="315" t="s">
        <v>6</v>
      </c>
      <c r="D97" s="315"/>
      <c r="E97" s="315"/>
      <c r="F97" s="432" t="s">
        <v>52</v>
      </c>
      <c r="G97" s="432"/>
      <c r="H97" s="10"/>
      <c r="I97" s="83" t="s">
        <v>91</v>
      </c>
      <c r="J97" s="10"/>
      <c r="K97" s="315" t="s">
        <v>34</v>
      </c>
      <c r="L97" s="315"/>
      <c r="M97" s="315"/>
      <c r="N97" s="10"/>
      <c r="O97" s="432" t="s">
        <v>270</v>
      </c>
      <c r="P97" s="432"/>
      <c r="Q97" s="10"/>
      <c r="R97" s="377" t="s">
        <v>51</v>
      </c>
      <c r="S97" s="377"/>
      <c r="T97" s="377"/>
      <c r="U97" s="315" t="s">
        <v>156</v>
      </c>
      <c r="V97" s="315"/>
      <c r="W97" s="315"/>
      <c r="X97" s="10"/>
      <c r="Y97" s="315" t="s">
        <v>61</v>
      </c>
      <c r="Z97" s="315"/>
      <c r="AA97" s="315"/>
      <c r="AB97" s="10"/>
      <c r="AC97" s="83" t="s">
        <v>51</v>
      </c>
      <c r="AD97" s="10"/>
      <c r="AE97" s="433" t="s">
        <v>173</v>
      </c>
      <c r="AF97" s="434"/>
      <c r="AG97" s="56"/>
    </row>
    <row r="98" spans="2:33" x14ac:dyDescent="0.2">
      <c r="B98" s="574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203"/>
      <c r="AG98" s="56"/>
    </row>
    <row r="99" spans="2:33" x14ac:dyDescent="0.2">
      <c r="B99" s="574"/>
      <c r="C99" s="379" t="s">
        <v>18</v>
      </c>
      <c r="D99" s="379"/>
      <c r="E99" s="10"/>
      <c r="F99" s="298" t="s">
        <v>79</v>
      </c>
      <c r="G99" s="298"/>
      <c r="H99" s="298"/>
      <c r="I99" s="298" t="s">
        <v>12</v>
      </c>
      <c r="J99" s="298"/>
      <c r="K99" s="298"/>
      <c r="L99" s="30" t="s">
        <v>101</v>
      </c>
      <c r="M99" s="356" t="s">
        <v>226</v>
      </c>
      <c r="N99" s="356"/>
      <c r="O99" s="356"/>
      <c r="P99" s="356"/>
      <c r="Q99" s="298" t="s">
        <v>44</v>
      </c>
      <c r="R99" s="298"/>
      <c r="S99" s="298"/>
      <c r="T99" s="298" t="s">
        <v>264</v>
      </c>
      <c r="U99" s="298"/>
      <c r="V99" s="298" t="s">
        <v>13</v>
      </c>
      <c r="W99" s="298"/>
      <c r="X99" s="298"/>
      <c r="Y99" s="298" t="s">
        <v>80</v>
      </c>
      <c r="Z99" s="298"/>
      <c r="AA99" s="298" t="s">
        <v>18</v>
      </c>
      <c r="AB99" s="298"/>
      <c r="AC99" s="298"/>
      <c r="AD99" s="30" t="s">
        <v>273</v>
      </c>
      <c r="AE99" s="379" t="s">
        <v>16</v>
      </c>
      <c r="AF99" s="428"/>
      <c r="AG99" s="56"/>
    </row>
    <row r="100" spans="2:33" x14ac:dyDescent="0.2">
      <c r="B100" s="575"/>
      <c r="C100" s="36" t="s">
        <v>155</v>
      </c>
      <c r="D100" s="307" t="s">
        <v>38</v>
      </c>
      <c r="E100" s="307"/>
      <c r="F100" s="307"/>
      <c r="G100" s="318" t="s">
        <v>219</v>
      </c>
      <c r="H100" s="318"/>
      <c r="I100" s="318"/>
      <c r="J100" s="307" t="s">
        <v>101</v>
      </c>
      <c r="K100" s="307"/>
      <c r="L100" s="318" t="s">
        <v>209</v>
      </c>
      <c r="M100" s="318"/>
      <c r="N100" s="318"/>
      <c r="O100" s="28"/>
      <c r="P100" s="318" t="s">
        <v>13</v>
      </c>
      <c r="Q100" s="318"/>
      <c r="R100" s="318"/>
      <c r="S100" s="32" t="s">
        <v>264</v>
      </c>
      <c r="T100" s="318" t="s">
        <v>17</v>
      </c>
      <c r="U100" s="318"/>
      <c r="V100" s="318"/>
      <c r="W100" s="28"/>
      <c r="X100" s="32" t="s">
        <v>271</v>
      </c>
      <c r="Y100" s="318" t="s">
        <v>222</v>
      </c>
      <c r="Z100" s="318"/>
      <c r="AA100" s="318"/>
      <c r="AB100" s="389" t="s">
        <v>272</v>
      </c>
      <c r="AC100" s="389"/>
      <c r="AD100" s="28"/>
      <c r="AE100" s="28"/>
      <c r="AF100" s="218" t="s">
        <v>231</v>
      </c>
      <c r="AG100" s="56"/>
    </row>
    <row r="101" spans="2:33" x14ac:dyDescent="0.2">
      <c r="B101" s="542" t="s">
        <v>106</v>
      </c>
      <c r="C101" s="289" t="s">
        <v>134</v>
      </c>
      <c r="D101" s="338"/>
      <c r="E101" s="75" t="s">
        <v>6</v>
      </c>
      <c r="F101" s="289" t="s">
        <v>60</v>
      </c>
      <c r="G101" s="290"/>
      <c r="H101" s="290"/>
      <c r="I101" s="290"/>
      <c r="J101" s="320" t="s">
        <v>91</v>
      </c>
      <c r="K101" s="321"/>
      <c r="L101" s="123" t="s">
        <v>34</v>
      </c>
      <c r="M101" s="435" t="s">
        <v>172</v>
      </c>
      <c r="N101" s="290"/>
      <c r="O101" s="290"/>
      <c r="P101" s="290"/>
      <c r="Q101" s="123" t="s">
        <v>289</v>
      </c>
      <c r="R101" s="289" t="s">
        <v>124</v>
      </c>
      <c r="S101" s="290"/>
      <c r="T101" s="290"/>
      <c r="U101" s="290"/>
      <c r="V101" s="290"/>
      <c r="W101" s="338"/>
      <c r="X101" s="345" t="s">
        <v>62</v>
      </c>
      <c r="Y101" s="346"/>
      <c r="Z101" s="347"/>
      <c r="AA101" s="121" t="s">
        <v>61</v>
      </c>
      <c r="AB101" s="15"/>
      <c r="AC101" s="289" t="s">
        <v>123</v>
      </c>
      <c r="AD101" s="290"/>
      <c r="AE101" s="290"/>
      <c r="AF101" s="344"/>
      <c r="AG101" s="56"/>
    </row>
    <row r="102" spans="2:33" x14ac:dyDescent="0.2">
      <c r="B102" s="544"/>
      <c r="C102" s="291" t="s">
        <v>6</v>
      </c>
      <c r="D102" s="292"/>
      <c r="E102" s="418" t="s">
        <v>67</v>
      </c>
      <c r="F102" s="419"/>
      <c r="G102" s="420"/>
      <c r="H102" s="70"/>
      <c r="I102" s="102" t="s">
        <v>91</v>
      </c>
      <c r="J102" s="295" t="s">
        <v>126</v>
      </c>
      <c r="K102" s="296"/>
      <c r="L102" s="297"/>
      <c r="M102" s="129" t="s">
        <v>34</v>
      </c>
      <c r="N102" s="132" t="s">
        <v>299</v>
      </c>
      <c r="O102" s="385" t="s">
        <v>75</v>
      </c>
      <c r="P102" s="436"/>
      <c r="Q102" s="132" t="s">
        <v>248</v>
      </c>
      <c r="R102" s="316" t="s">
        <v>51</v>
      </c>
      <c r="S102" s="387"/>
      <c r="T102" s="317"/>
      <c r="U102" s="291" t="s">
        <v>156</v>
      </c>
      <c r="V102" s="292"/>
      <c r="W102" s="293"/>
      <c r="X102" s="70"/>
      <c r="Y102" s="291" t="s">
        <v>61</v>
      </c>
      <c r="Z102" s="292"/>
      <c r="AA102" s="345" t="s">
        <v>51</v>
      </c>
      <c r="AB102" s="346"/>
      <c r="AC102" s="347"/>
      <c r="AD102" s="70"/>
      <c r="AE102" s="416" t="s">
        <v>173</v>
      </c>
      <c r="AF102" s="417"/>
      <c r="AG102" s="56"/>
    </row>
    <row r="103" spans="2:33" x14ac:dyDescent="0.2">
      <c r="B103" s="544"/>
      <c r="C103" s="427" t="s">
        <v>18</v>
      </c>
      <c r="D103" s="427"/>
      <c r="E103" s="70"/>
      <c r="F103" s="355" t="s">
        <v>79</v>
      </c>
      <c r="G103" s="355"/>
      <c r="H103" s="355"/>
      <c r="I103" s="298" t="s">
        <v>12</v>
      </c>
      <c r="J103" s="355"/>
      <c r="K103" s="355"/>
      <c r="L103" s="124" t="s">
        <v>42</v>
      </c>
      <c r="M103" s="356" t="s">
        <v>226</v>
      </c>
      <c r="N103" s="356"/>
      <c r="O103" s="356"/>
      <c r="P103" s="356"/>
      <c r="Q103" s="355" t="s">
        <v>44</v>
      </c>
      <c r="R103" s="355"/>
      <c r="S103" s="355"/>
      <c r="T103" s="324" t="s">
        <v>264</v>
      </c>
      <c r="U103" s="325"/>
      <c r="V103" s="298" t="s">
        <v>13</v>
      </c>
      <c r="W103" s="298"/>
      <c r="X103" s="298"/>
      <c r="Y103" s="324" t="s">
        <v>80</v>
      </c>
      <c r="Z103" s="325"/>
      <c r="AA103" s="355" t="s">
        <v>18</v>
      </c>
      <c r="AB103" s="355"/>
      <c r="AC103" s="355"/>
      <c r="AD103" s="70"/>
      <c r="AE103" s="379" t="s">
        <v>16</v>
      </c>
      <c r="AF103" s="428"/>
      <c r="AG103" s="56"/>
    </row>
    <row r="104" spans="2:33" x14ac:dyDescent="0.2">
      <c r="B104" s="545"/>
      <c r="C104" s="38" t="s">
        <v>298</v>
      </c>
      <c r="D104" s="307" t="s">
        <v>38</v>
      </c>
      <c r="E104" s="307"/>
      <c r="F104" s="307"/>
      <c r="G104" s="318" t="s">
        <v>219</v>
      </c>
      <c r="H104" s="318"/>
      <c r="I104" s="318"/>
      <c r="J104" s="437" t="s">
        <v>42</v>
      </c>
      <c r="K104" s="437"/>
      <c r="L104" s="318" t="s">
        <v>209</v>
      </c>
      <c r="M104" s="318"/>
      <c r="N104" s="318"/>
      <c r="O104" s="28"/>
      <c r="P104" s="318" t="s">
        <v>13</v>
      </c>
      <c r="Q104" s="318"/>
      <c r="R104" s="318"/>
      <c r="S104" s="154" t="s">
        <v>264</v>
      </c>
      <c r="T104" s="318" t="s">
        <v>17</v>
      </c>
      <c r="U104" s="318"/>
      <c r="V104" s="318"/>
      <c r="W104" s="28"/>
      <c r="X104" s="154" t="s">
        <v>80</v>
      </c>
      <c r="Y104" s="318" t="s">
        <v>222</v>
      </c>
      <c r="Z104" s="318"/>
      <c r="AA104" s="318"/>
      <c r="AB104" s="307" t="s">
        <v>300</v>
      </c>
      <c r="AC104" s="307"/>
      <c r="AD104" s="307"/>
      <c r="AE104" s="28"/>
      <c r="AF104" s="219" t="s">
        <v>301</v>
      </c>
      <c r="AG104" s="56"/>
    </row>
    <row r="105" spans="2:33" x14ac:dyDescent="0.2">
      <c r="B105" s="4"/>
    </row>
    <row r="106" spans="2:33" hidden="1" x14ac:dyDescent="0.2">
      <c r="B106" s="534" t="s">
        <v>47</v>
      </c>
      <c r="C106" s="33"/>
      <c r="D106" s="326" t="s">
        <v>38</v>
      </c>
      <c r="E106" s="326"/>
      <c r="F106" s="326"/>
      <c r="G106" s="33"/>
      <c r="H106" s="33"/>
      <c r="I106" s="33"/>
      <c r="J106" s="326" t="s">
        <v>101</v>
      </c>
      <c r="K106" s="326"/>
      <c r="L106" s="326"/>
      <c r="M106" s="33"/>
      <c r="N106" s="33"/>
      <c r="O106" s="33"/>
      <c r="P106" s="40"/>
      <c r="Q106" s="33"/>
      <c r="R106" s="40"/>
      <c r="S106" s="33"/>
      <c r="T106" s="40"/>
      <c r="U106" s="33"/>
      <c r="V106" s="326" t="s">
        <v>13</v>
      </c>
      <c r="W106" s="326"/>
      <c r="X106" s="326"/>
      <c r="Y106" s="33"/>
      <c r="Z106" s="40"/>
      <c r="AA106" s="33"/>
      <c r="AB106" s="40"/>
      <c r="AC106" s="33"/>
      <c r="AD106" s="40"/>
      <c r="AE106" s="33"/>
      <c r="AF106" s="220"/>
      <c r="AG106" s="249"/>
    </row>
    <row r="107" spans="2:33" hidden="1" x14ac:dyDescent="0.2">
      <c r="B107" s="535"/>
      <c r="C107" s="39" t="s">
        <v>155</v>
      </c>
      <c r="D107" s="17"/>
      <c r="E107" s="17"/>
      <c r="F107" s="17"/>
      <c r="G107" s="327" t="s">
        <v>219</v>
      </c>
      <c r="H107" s="327"/>
      <c r="I107" s="327"/>
      <c r="J107" s="17"/>
      <c r="K107" s="17"/>
      <c r="L107" s="17"/>
      <c r="M107" s="17"/>
      <c r="N107" s="17"/>
      <c r="O107" s="17"/>
      <c r="P107" s="327" t="s">
        <v>13</v>
      </c>
      <c r="Q107" s="327"/>
      <c r="R107" s="32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221"/>
      <c r="AG107" s="249"/>
    </row>
    <row r="108" spans="2:33" hidden="1" x14ac:dyDescent="0.2">
      <c r="B108" s="534" t="s">
        <v>41</v>
      </c>
      <c r="C108" s="289" t="s">
        <v>134</v>
      </c>
      <c r="D108" s="363"/>
      <c r="E108" s="33"/>
      <c r="F108" s="326" t="s">
        <v>79</v>
      </c>
      <c r="G108" s="326"/>
      <c r="H108" s="326"/>
      <c r="I108" s="33"/>
      <c r="J108" s="40"/>
      <c r="K108" s="330" t="s">
        <v>34</v>
      </c>
      <c r="L108" s="331"/>
      <c r="M108" s="332"/>
      <c r="N108" s="33"/>
      <c r="O108" s="40"/>
      <c r="P108" s="33"/>
      <c r="Q108" s="40"/>
      <c r="R108" s="33"/>
      <c r="S108" s="326" t="s">
        <v>74</v>
      </c>
      <c r="T108" s="326"/>
      <c r="U108" s="326"/>
      <c r="V108" s="33"/>
      <c r="W108" s="40"/>
      <c r="X108" s="403" t="s">
        <v>220</v>
      </c>
      <c r="Y108" s="404"/>
      <c r="Z108" s="405"/>
      <c r="AA108" s="33"/>
      <c r="AB108" s="40"/>
      <c r="AC108" s="328" t="s">
        <v>123</v>
      </c>
      <c r="AD108" s="329"/>
      <c r="AE108" s="329"/>
      <c r="AF108" s="399"/>
      <c r="AG108" s="236"/>
    </row>
    <row r="109" spans="2:33" hidden="1" x14ac:dyDescent="0.2">
      <c r="B109" s="535"/>
      <c r="C109" s="35"/>
      <c r="D109" s="17"/>
      <c r="E109" s="35"/>
      <c r="F109" s="17"/>
      <c r="G109" s="35"/>
      <c r="H109" s="17"/>
      <c r="I109" s="35"/>
      <c r="J109" s="17"/>
      <c r="K109" s="35"/>
      <c r="L109" s="327" t="s">
        <v>209</v>
      </c>
      <c r="M109" s="327"/>
      <c r="N109" s="327"/>
      <c r="O109" s="35"/>
      <c r="P109" s="17"/>
      <c r="Q109" s="35"/>
      <c r="R109" s="17"/>
      <c r="S109" s="35"/>
      <c r="T109" s="17"/>
      <c r="U109" s="35"/>
      <c r="V109" s="17"/>
      <c r="W109" s="17"/>
      <c r="X109" s="35"/>
      <c r="Y109" s="327" t="s">
        <v>222</v>
      </c>
      <c r="Z109" s="327"/>
      <c r="AA109" s="327"/>
      <c r="AB109" s="17"/>
      <c r="AC109" s="35"/>
      <c r="AD109" s="17"/>
      <c r="AE109" s="17"/>
      <c r="AF109" s="221"/>
      <c r="AG109" s="250"/>
    </row>
    <row r="110" spans="2:33" hidden="1" x14ac:dyDescent="0.2">
      <c r="B110" s="538" t="s">
        <v>28</v>
      </c>
      <c r="C110" s="390" t="s">
        <v>18</v>
      </c>
      <c r="D110" s="390"/>
      <c r="E110" s="40"/>
      <c r="F110" s="33"/>
      <c r="G110" s="40"/>
      <c r="H110" s="33"/>
      <c r="I110" s="326" t="s">
        <v>12</v>
      </c>
      <c r="J110" s="326"/>
      <c r="K110" s="326"/>
      <c r="L110" s="40"/>
      <c r="M110" s="33"/>
      <c r="N110" s="40"/>
      <c r="O110" s="330" t="s">
        <v>12</v>
      </c>
      <c r="P110" s="331"/>
      <c r="Q110" s="332"/>
      <c r="R110" s="40"/>
      <c r="S110" s="33"/>
      <c r="T110" s="40"/>
      <c r="U110" s="330" t="s">
        <v>156</v>
      </c>
      <c r="V110" s="331"/>
      <c r="W110" s="332"/>
      <c r="X110" s="330" t="s">
        <v>62</v>
      </c>
      <c r="Y110" s="331"/>
      <c r="Z110" s="332"/>
      <c r="AA110" s="326" t="s">
        <v>18</v>
      </c>
      <c r="AB110" s="326"/>
      <c r="AC110" s="326"/>
      <c r="AD110" s="33"/>
      <c r="AE110" s="40"/>
      <c r="AF110" s="206" t="s">
        <v>231</v>
      </c>
      <c r="AG110" s="251"/>
    </row>
    <row r="111" spans="2:33" hidden="1" x14ac:dyDescent="0.2">
      <c r="B111" s="540"/>
      <c r="C111" s="35"/>
      <c r="D111" s="17"/>
      <c r="E111" s="35"/>
      <c r="F111" s="17"/>
      <c r="G111" s="35"/>
      <c r="H111" s="17"/>
      <c r="I111" s="35"/>
      <c r="J111" s="17"/>
      <c r="K111" s="35"/>
      <c r="L111" s="333" t="s">
        <v>210</v>
      </c>
      <c r="M111" s="334"/>
      <c r="N111" s="335"/>
      <c r="O111" s="17"/>
      <c r="P111" s="35"/>
      <c r="Q111" s="17"/>
      <c r="R111" s="35"/>
      <c r="S111" s="17"/>
      <c r="T111" s="35"/>
      <c r="U111" s="17"/>
      <c r="V111" s="35"/>
      <c r="W111" s="17"/>
      <c r="X111" s="35"/>
      <c r="Y111" s="17"/>
      <c r="Z111" s="35"/>
      <c r="AA111" s="17"/>
      <c r="AB111" s="35"/>
      <c r="AC111" s="17"/>
      <c r="AD111" s="35"/>
      <c r="AE111" s="17"/>
      <c r="AF111" s="221"/>
      <c r="AG111" s="239"/>
    </row>
    <row r="112" spans="2:33" hidden="1" x14ac:dyDescent="0.2">
      <c r="B112" s="538" t="s">
        <v>50</v>
      </c>
      <c r="C112" s="330" t="s">
        <v>6</v>
      </c>
      <c r="D112" s="331"/>
      <c r="E112" s="332"/>
      <c r="F112" s="33"/>
      <c r="G112" s="40"/>
      <c r="H112" s="33"/>
      <c r="I112" s="330" t="s">
        <v>91</v>
      </c>
      <c r="J112" s="331"/>
      <c r="K112" s="332"/>
      <c r="L112" s="40"/>
      <c r="M112" s="289" t="s">
        <v>172</v>
      </c>
      <c r="N112" s="290"/>
      <c r="O112" s="290"/>
      <c r="P112" s="290"/>
      <c r="Q112" s="40"/>
      <c r="R112" s="33"/>
      <c r="S112" s="40"/>
      <c r="T112" s="33"/>
      <c r="U112" s="40"/>
      <c r="V112" s="33"/>
      <c r="W112" s="40"/>
      <c r="X112" s="33"/>
      <c r="Y112" s="40"/>
      <c r="Z112" s="33"/>
      <c r="AA112" s="330" t="s">
        <v>51</v>
      </c>
      <c r="AB112" s="331"/>
      <c r="AC112" s="332"/>
      <c r="AD112" s="40"/>
      <c r="AE112" s="33"/>
      <c r="AF112" s="220"/>
      <c r="AG112" s="249"/>
    </row>
    <row r="113" spans="2:43" hidden="1" x14ac:dyDescent="0.2">
      <c r="B113" s="540"/>
      <c r="C113" s="35"/>
      <c r="D113" s="17"/>
      <c r="E113" s="35"/>
      <c r="F113" s="17"/>
      <c r="G113" s="35"/>
      <c r="H113" s="17"/>
      <c r="I113" s="35"/>
      <c r="J113" s="17"/>
      <c r="K113" s="35"/>
      <c r="L113" s="17"/>
      <c r="M113" s="35"/>
      <c r="N113" s="17"/>
      <c r="O113" s="35"/>
      <c r="P113" s="17"/>
      <c r="Q113" s="35"/>
      <c r="R113" s="333" t="s">
        <v>51</v>
      </c>
      <c r="S113" s="334"/>
      <c r="T113" s="335"/>
      <c r="U113" s="35"/>
      <c r="V113" s="17"/>
      <c r="W113" s="35"/>
      <c r="X113" s="17"/>
      <c r="Y113" s="35"/>
      <c r="Z113" s="17"/>
      <c r="AA113" s="35"/>
      <c r="AB113" s="17"/>
      <c r="AC113" s="35"/>
      <c r="AD113" s="17"/>
      <c r="AE113" s="17"/>
      <c r="AF113" s="221"/>
      <c r="AG113" s="249"/>
    </row>
    <row r="114" spans="2:43" hidden="1" x14ac:dyDescent="0.2">
      <c r="B114" s="538" t="s">
        <v>57</v>
      </c>
      <c r="C114" s="40"/>
      <c r="D114" s="33"/>
      <c r="E114" s="40"/>
      <c r="F114" s="33"/>
      <c r="G114" s="40"/>
      <c r="H114" s="33"/>
      <c r="I114" s="40"/>
      <c r="J114" s="33"/>
      <c r="K114" s="40"/>
      <c r="L114" s="33"/>
      <c r="M114" s="40"/>
      <c r="N114" s="33"/>
      <c r="O114" s="40"/>
      <c r="P114" s="33"/>
      <c r="Q114" s="40"/>
      <c r="R114" s="289" t="s">
        <v>165</v>
      </c>
      <c r="S114" s="290"/>
      <c r="T114" s="290"/>
      <c r="U114" s="290"/>
      <c r="V114" s="290"/>
      <c r="W114" s="338"/>
      <c r="X114" s="40"/>
      <c r="Y114" s="330" t="s">
        <v>61</v>
      </c>
      <c r="Z114" s="331"/>
      <c r="AA114" s="332"/>
      <c r="AB114" s="40"/>
      <c r="AC114" s="33"/>
      <c r="AD114" s="40"/>
      <c r="AE114" s="33"/>
      <c r="AF114" s="220"/>
      <c r="AG114" s="249"/>
    </row>
    <row r="115" spans="2:43" hidden="1" x14ac:dyDescent="0.2">
      <c r="B115" s="540"/>
      <c r="C115" s="333" t="s">
        <v>224</v>
      </c>
      <c r="D115" s="334"/>
      <c r="E115" s="335"/>
      <c r="F115" s="35"/>
      <c r="G115" s="17"/>
      <c r="H115" s="35"/>
      <c r="I115" s="17"/>
      <c r="J115" s="35"/>
      <c r="K115" s="17"/>
      <c r="L115" s="35"/>
      <c r="M115" s="17"/>
      <c r="N115" s="35"/>
      <c r="O115" s="407" t="s">
        <v>223</v>
      </c>
      <c r="P115" s="408"/>
      <c r="Q115" s="409"/>
      <c r="R115" s="35"/>
      <c r="S115" s="17"/>
      <c r="T115" s="35"/>
      <c r="U115" s="17"/>
      <c r="V115" s="35"/>
      <c r="W115" s="17"/>
      <c r="X115" s="35"/>
      <c r="Y115" s="17"/>
      <c r="Z115" s="35"/>
      <c r="AA115" s="17"/>
      <c r="AB115" s="35"/>
      <c r="AC115" s="17"/>
      <c r="AD115" s="35"/>
      <c r="AE115" s="17"/>
      <c r="AF115" s="221"/>
      <c r="AG115" s="249"/>
    </row>
    <row r="116" spans="2:43" hidden="1" x14ac:dyDescent="0.2">
      <c r="B116" s="538" t="s">
        <v>25</v>
      </c>
      <c r="C116" s="41"/>
      <c r="D116" s="33"/>
      <c r="E116" s="438" t="s">
        <v>67</v>
      </c>
      <c r="F116" s="439"/>
      <c r="G116" s="440"/>
      <c r="H116" s="33"/>
      <c r="I116" s="33"/>
      <c r="J116" s="110"/>
      <c r="K116" s="110"/>
      <c r="L116" s="40"/>
      <c r="M116" s="356" t="s">
        <v>226</v>
      </c>
      <c r="N116" s="356"/>
      <c r="O116" s="356"/>
      <c r="P116" s="356"/>
      <c r="Q116" s="33"/>
      <c r="R116" s="33"/>
      <c r="S116" s="33"/>
      <c r="T116" s="33"/>
      <c r="U116" s="33"/>
      <c r="V116" s="33"/>
      <c r="W116" s="33"/>
      <c r="X116" s="33"/>
      <c r="Y116" s="40"/>
      <c r="Z116" s="33"/>
      <c r="AA116" s="40"/>
      <c r="AB116" s="33"/>
      <c r="AC116" s="33"/>
      <c r="AD116" s="40"/>
      <c r="AE116" s="441" t="s">
        <v>173</v>
      </c>
      <c r="AF116" s="442"/>
      <c r="AG116" s="236"/>
    </row>
    <row r="117" spans="2:43" hidden="1" x14ac:dyDescent="0.2">
      <c r="B117" s="540"/>
      <c r="C117" s="42"/>
      <c r="D117" s="42"/>
      <c r="E117" s="42"/>
      <c r="F117" s="42"/>
      <c r="G117" s="42"/>
      <c r="H117" s="42"/>
      <c r="I117" s="42"/>
      <c r="J117" s="333" t="s">
        <v>126</v>
      </c>
      <c r="K117" s="334"/>
      <c r="L117" s="335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222"/>
      <c r="AG117" s="236"/>
    </row>
    <row r="118" spans="2:43" hidden="1" x14ac:dyDescent="0.2">
      <c r="B118" s="532" t="s">
        <v>11</v>
      </c>
      <c r="C118" s="43"/>
      <c r="D118" s="43"/>
      <c r="E118" s="76"/>
      <c r="F118" s="289" t="s">
        <v>60</v>
      </c>
      <c r="G118" s="290"/>
      <c r="H118" s="290"/>
      <c r="I118" s="290"/>
      <c r="J118" s="40"/>
      <c r="K118" s="33"/>
      <c r="L118" s="40"/>
      <c r="M118" s="33"/>
      <c r="N118" s="40"/>
      <c r="O118" s="33"/>
      <c r="P118" s="40"/>
      <c r="Q118" s="326" t="s">
        <v>44</v>
      </c>
      <c r="R118" s="326"/>
      <c r="S118" s="326"/>
      <c r="T118" s="40"/>
      <c r="U118" s="33"/>
      <c r="V118" s="40"/>
      <c r="W118" s="33"/>
      <c r="X118" s="326" t="s">
        <v>80</v>
      </c>
      <c r="Y118" s="326"/>
      <c r="Z118" s="326"/>
      <c r="AA118" s="40"/>
      <c r="AB118" s="443" t="s">
        <v>257</v>
      </c>
      <c r="AC118" s="443"/>
      <c r="AD118" s="443"/>
      <c r="AE118" s="390" t="s">
        <v>16</v>
      </c>
      <c r="AF118" s="444"/>
      <c r="AG118" s="249"/>
    </row>
    <row r="119" spans="2:43" hidden="1" x14ac:dyDescent="0.2">
      <c r="B119" s="533"/>
      <c r="C119" s="44"/>
      <c r="D119" s="17"/>
      <c r="E119" s="77"/>
      <c r="F119" s="17"/>
      <c r="G119" s="35"/>
      <c r="H119" s="17"/>
      <c r="I119" s="35"/>
      <c r="J119" s="17"/>
      <c r="K119" s="35"/>
      <c r="L119" s="17"/>
      <c r="M119" s="35"/>
      <c r="N119" s="17"/>
      <c r="O119" s="35"/>
      <c r="P119" s="17"/>
      <c r="Q119" s="35"/>
      <c r="R119" s="17"/>
      <c r="S119" s="35"/>
      <c r="T119" s="327" t="s">
        <v>17</v>
      </c>
      <c r="U119" s="327"/>
      <c r="V119" s="327"/>
      <c r="W119" s="17"/>
      <c r="X119" s="35"/>
      <c r="Y119" s="17"/>
      <c r="Z119" s="35"/>
      <c r="AA119" s="17"/>
      <c r="AB119" s="35"/>
      <c r="AC119" s="17"/>
      <c r="AD119" s="35"/>
      <c r="AE119" s="17"/>
      <c r="AF119" s="221"/>
      <c r="AG119" s="249"/>
      <c r="AL119" s="270"/>
      <c r="AM119" s="270"/>
      <c r="AN119" s="1"/>
      <c r="AO119" s="1"/>
    </row>
    <row r="120" spans="2:43" x14ac:dyDescent="0.2">
      <c r="B120" s="5"/>
    </row>
    <row r="121" spans="2:43" x14ac:dyDescent="0.2">
      <c r="B121" s="515" t="s">
        <v>125</v>
      </c>
      <c r="C121" s="45">
        <v>1</v>
      </c>
      <c r="D121" s="45">
        <v>2</v>
      </c>
      <c r="E121" s="45">
        <v>3</v>
      </c>
      <c r="F121" s="45">
        <v>4</v>
      </c>
      <c r="G121" s="45">
        <v>5</v>
      </c>
      <c r="H121" s="8">
        <v>6</v>
      </c>
      <c r="I121" s="8">
        <v>7</v>
      </c>
      <c r="J121" s="8">
        <v>8</v>
      </c>
      <c r="K121" s="8">
        <v>9</v>
      </c>
      <c r="L121" s="8">
        <v>10</v>
      </c>
      <c r="M121" s="8">
        <v>11</v>
      </c>
      <c r="N121" s="8">
        <v>12</v>
      </c>
      <c r="O121" s="8">
        <v>13</v>
      </c>
      <c r="P121" s="8">
        <v>14</v>
      </c>
      <c r="Q121" s="8">
        <v>15</v>
      </c>
      <c r="R121" s="8">
        <v>16</v>
      </c>
      <c r="S121" s="8">
        <v>17</v>
      </c>
      <c r="T121" s="8">
        <v>18</v>
      </c>
      <c r="U121" s="8">
        <v>19</v>
      </c>
      <c r="V121" s="8">
        <v>20</v>
      </c>
      <c r="W121" s="8">
        <v>21</v>
      </c>
      <c r="X121" s="8">
        <v>22</v>
      </c>
      <c r="Y121" s="8">
        <v>23</v>
      </c>
      <c r="Z121" s="8">
        <v>24</v>
      </c>
      <c r="AA121" s="8">
        <v>25</v>
      </c>
      <c r="AB121" s="8">
        <v>26</v>
      </c>
      <c r="AC121" s="8">
        <v>27</v>
      </c>
      <c r="AD121" s="8">
        <v>28</v>
      </c>
      <c r="AE121" s="8">
        <v>29</v>
      </c>
      <c r="AF121" s="8">
        <v>30</v>
      </c>
      <c r="AG121" s="197">
        <v>31</v>
      </c>
      <c r="AQ121" s="275"/>
    </row>
    <row r="122" spans="2:43" x14ac:dyDescent="0.2">
      <c r="B122" s="516"/>
      <c r="C122" s="23" t="s">
        <v>21</v>
      </c>
      <c r="D122" s="23" t="s">
        <v>8</v>
      </c>
      <c r="E122" s="23" t="s">
        <v>29</v>
      </c>
      <c r="F122" s="52" t="s">
        <v>30</v>
      </c>
      <c r="G122" s="52" t="s">
        <v>32</v>
      </c>
      <c r="H122" s="23" t="s">
        <v>2</v>
      </c>
      <c r="I122" s="23" t="s">
        <v>37</v>
      </c>
      <c r="J122" s="23" t="s">
        <v>21</v>
      </c>
      <c r="K122" s="23" t="s">
        <v>8</v>
      </c>
      <c r="L122" s="23" t="s">
        <v>29</v>
      </c>
      <c r="M122" s="52" t="s">
        <v>30</v>
      </c>
      <c r="N122" s="52" t="s">
        <v>32</v>
      </c>
      <c r="O122" s="23" t="s">
        <v>2</v>
      </c>
      <c r="P122" s="23" t="s">
        <v>37</v>
      </c>
      <c r="Q122" s="23" t="s">
        <v>21</v>
      </c>
      <c r="R122" s="23" t="s">
        <v>8</v>
      </c>
      <c r="S122" s="23" t="s">
        <v>29</v>
      </c>
      <c r="T122" s="52" t="s">
        <v>30</v>
      </c>
      <c r="U122" s="52" t="s">
        <v>32</v>
      </c>
      <c r="V122" s="52" t="s">
        <v>2</v>
      </c>
      <c r="W122" s="23" t="s">
        <v>37</v>
      </c>
      <c r="X122" s="23" t="s">
        <v>21</v>
      </c>
      <c r="Y122" s="23" t="s">
        <v>8</v>
      </c>
      <c r="Z122" s="23" t="s">
        <v>29</v>
      </c>
      <c r="AA122" s="52" t="s">
        <v>30</v>
      </c>
      <c r="AB122" s="52" t="s">
        <v>32</v>
      </c>
      <c r="AC122" s="23" t="s">
        <v>2</v>
      </c>
      <c r="AD122" s="23" t="s">
        <v>37</v>
      </c>
      <c r="AE122" s="23" t="s">
        <v>21</v>
      </c>
      <c r="AF122" s="23" t="s">
        <v>8</v>
      </c>
      <c r="AG122" s="225" t="s">
        <v>174</v>
      </c>
      <c r="AQ122" s="275"/>
    </row>
    <row r="123" spans="2:43" x14ac:dyDescent="0.2">
      <c r="B123" s="571" t="s">
        <v>71</v>
      </c>
      <c r="C123" s="46"/>
      <c r="D123" s="46"/>
      <c r="E123" s="46"/>
      <c r="F123" s="46"/>
      <c r="G123" s="46"/>
      <c r="H123" s="46"/>
      <c r="I123" s="284" t="s">
        <v>255</v>
      </c>
      <c r="J123" s="285"/>
      <c r="K123" s="285"/>
      <c r="L123" s="46"/>
      <c r="M123" s="46"/>
      <c r="N123" s="46"/>
      <c r="O123" s="46"/>
      <c r="P123" s="288" t="s">
        <v>136</v>
      </c>
      <c r="Q123" s="288"/>
      <c r="R123" s="288"/>
      <c r="S123" s="46"/>
      <c r="T123" s="46"/>
      <c r="U123" s="46"/>
      <c r="V123" s="46"/>
      <c r="W123" s="46"/>
      <c r="X123" s="288" t="s">
        <v>259</v>
      </c>
      <c r="Y123" s="288"/>
      <c r="Z123" s="288"/>
      <c r="AA123" s="46"/>
      <c r="AB123" s="46"/>
      <c r="AC123" s="282" t="s">
        <v>175</v>
      </c>
      <c r="AD123" s="283"/>
      <c r="AE123" s="445"/>
      <c r="AF123" s="223"/>
      <c r="AG123" s="252"/>
      <c r="AQ123" s="275"/>
    </row>
    <row r="124" spans="2:43" ht="13.5" customHeight="1" x14ac:dyDescent="0.2">
      <c r="B124" s="572"/>
      <c r="C124" s="47" t="s">
        <v>173</v>
      </c>
      <c r="D124" s="289" t="s">
        <v>31</v>
      </c>
      <c r="E124" s="290"/>
      <c r="F124" s="290"/>
      <c r="G124" s="290"/>
      <c r="H124" s="10"/>
      <c r="I124" s="291" t="s">
        <v>112</v>
      </c>
      <c r="J124" s="292"/>
      <c r="K124" s="293"/>
      <c r="L124" s="446" t="s">
        <v>10</v>
      </c>
      <c r="M124" s="447"/>
      <c r="N124" s="448"/>
      <c r="O124" s="10"/>
      <c r="P124" s="291" t="s">
        <v>161</v>
      </c>
      <c r="Q124" s="292"/>
      <c r="R124" s="293"/>
      <c r="S124" s="10"/>
      <c r="T124" s="291" t="s">
        <v>232</v>
      </c>
      <c r="U124" s="292"/>
      <c r="V124" s="293"/>
      <c r="W124" s="10"/>
      <c r="X124" s="291" t="s">
        <v>213</v>
      </c>
      <c r="Y124" s="292"/>
      <c r="Z124" s="293"/>
      <c r="AA124" s="289" t="s">
        <v>178</v>
      </c>
      <c r="AB124" s="290"/>
      <c r="AC124" s="290"/>
      <c r="AD124" s="290"/>
      <c r="AE124" s="291" t="s">
        <v>140</v>
      </c>
      <c r="AF124" s="292"/>
      <c r="AG124" s="294"/>
      <c r="AQ124" s="275"/>
    </row>
    <row r="125" spans="2:43" ht="13.5" customHeight="1" x14ac:dyDescent="0.2">
      <c r="B125" s="572"/>
      <c r="C125" s="345" t="s">
        <v>86</v>
      </c>
      <c r="D125" s="346"/>
      <c r="E125" s="347"/>
      <c r="F125" s="10"/>
      <c r="G125" s="345" t="s">
        <v>61</v>
      </c>
      <c r="H125" s="346"/>
      <c r="I125" s="347"/>
      <c r="J125" s="345" t="s">
        <v>84</v>
      </c>
      <c r="K125" s="346"/>
      <c r="L125" s="347"/>
      <c r="M125" s="345" t="s">
        <v>54</v>
      </c>
      <c r="N125" s="346"/>
      <c r="O125" s="347"/>
      <c r="P125" s="10"/>
      <c r="Q125" s="10"/>
      <c r="R125" s="345" t="s">
        <v>91</v>
      </c>
      <c r="S125" s="346"/>
      <c r="T125" s="347"/>
      <c r="U125" s="10"/>
      <c r="V125" s="449" t="s">
        <v>237</v>
      </c>
      <c r="W125" s="450"/>
      <c r="X125" s="451"/>
      <c r="Y125" s="345" t="s">
        <v>38</v>
      </c>
      <c r="Z125" s="346"/>
      <c r="AA125" s="347"/>
      <c r="AB125" s="10"/>
      <c r="AC125" s="452" t="s">
        <v>151</v>
      </c>
      <c r="AD125" s="453"/>
      <c r="AE125" s="454"/>
      <c r="AF125" s="10"/>
      <c r="AG125" s="253" t="s">
        <v>181</v>
      </c>
      <c r="AQ125" s="275"/>
    </row>
    <row r="126" spans="2:43" ht="13.5" customHeight="1" x14ac:dyDescent="0.2">
      <c r="B126" s="572"/>
      <c r="C126" s="10"/>
      <c r="D126" s="10"/>
      <c r="E126" s="10"/>
      <c r="F126" s="10"/>
      <c r="G126" s="10"/>
      <c r="H126" s="10"/>
      <c r="I126" s="10"/>
      <c r="J126" s="10" t="s">
        <v>43</v>
      </c>
      <c r="K126" s="10"/>
      <c r="L126" s="10"/>
      <c r="M126" s="10"/>
      <c r="N126" s="10"/>
      <c r="O126" s="291" t="s">
        <v>20</v>
      </c>
      <c r="P126" s="292"/>
      <c r="Q126" s="293"/>
      <c r="R126" s="10"/>
      <c r="S126" s="10"/>
      <c r="T126" s="10"/>
      <c r="U126" s="10"/>
      <c r="V126" s="10"/>
      <c r="W126" s="341" t="s">
        <v>51</v>
      </c>
      <c r="X126" s="342"/>
      <c r="Y126" s="343"/>
      <c r="Z126" s="10"/>
      <c r="AA126" s="10"/>
      <c r="AB126" s="10"/>
      <c r="AC126" s="10" t="s">
        <v>3</v>
      </c>
      <c r="AD126" s="10"/>
      <c r="AE126" s="10"/>
      <c r="AF126" s="10"/>
      <c r="AG126" s="203" t="s">
        <v>98</v>
      </c>
      <c r="AQ126" s="275"/>
    </row>
    <row r="127" spans="2:43" ht="13.5" customHeight="1" x14ac:dyDescent="0.2">
      <c r="B127" s="572"/>
      <c r="C127" s="10" t="s">
        <v>49</v>
      </c>
      <c r="D127" s="10"/>
      <c r="E127" s="10"/>
      <c r="F127" s="10"/>
      <c r="G127" s="10"/>
      <c r="H127" s="316" t="s">
        <v>9</v>
      </c>
      <c r="I127" s="387"/>
      <c r="J127" s="317"/>
      <c r="K127" s="10" t="s">
        <v>59</v>
      </c>
      <c r="L127" s="10"/>
      <c r="M127" s="10"/>
      <c r="N127" s="10"/>
      <c r="O127" s="316" t="s">
        <v>215</v>
      </c>
      <c r="P127" s="387"/>
      <c r="Q127" s="317"/>
      <c r="R127" s="10"/>
      <c r="S127" s="455" t="s">
        <v>220</v>
      </c>
      <c r="T127" s="456"/>
      <c r="U127" s="457"/>
      <c r="V127" s="10"/>
      <c r="W127" s="553" t="s">
        <v>196</v>
      </c>
      <c r="X127" s="10"/>
      <c r="Y127" s="10"/>
      <c r="Z127" s="316" t="s">
        <v>236</v>
      </c>
      <c r="AA127" s="387"/>
      <c r="AB127" s="317"/>
      <c r="AC127" s="10"/>
      <c r="AD127" s="10"/>
      <c r="AE127" s="10"/>
      <c r="AF127" s="458" t="s">
        <v>234</v>
      </c>
      <c r="AG127" s="459"/>
      <c r="AQ127" s="275"/>
    </row>
    <row r="128" spans="2:43" ht="13.5" customHeight="1" x14ac:dyDescent="0.2">
      <c r="B128" s="57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554"/>
      <c r="X128" s="10"/>
      <c r="Y128" s="10"/>
      <c r="Z128" s="10"/>
      <c r="AA128" s="10"/>
      <c r="AB128" s="10"/>
      <c r="AC128" s="10"/>
      <c r="AD128" s="10"/>
      <c r="AE128" s="10"/>
      <c r="AF128" s="10"/>
      <c r="AG128" s="203"/>
      <c r="AQ128" s="275"/>
    </row>
    <row r="129" spans="2:43" x14ac:dyDescent="0.2">
      <c r="B129" s="57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554"/>
      <c r="X129" s="10"/>
      <c r="Y129" s="10"/>
      <c r="Z129" s="10"/>
      <c r="AA129" s="10"/>
      <c r="AB129" s="10"/>
      <c r="AC129" s="10"/>
      <c r="AD129" s="10"/>
      <c r="AE129" s="10"/>
      <c r="AF129" s="101"/>
      <c r="AG129" s="254"/>
      <c r="AQ129" s="275"/>
    </row>
    <row r="130" spans="2:43" x14ac:dyDescent="0.2">
      <c r="B130" s="572"/>
      <c r="C130" s="379" t="s">
        <v>132</v>
      </c>
      <c r="D130" s="379"/>
      <c r="E130" s="429" t="s">
        <v>110</v>
      </c>
      <c r="F130" s="429"/>
      <c r="G130" s="429"/>
      <c r="H130" s="10"/>
      <c r="I130" s="10"/>
      <c r="J130" s="298" t="s">
        <v>13</v>
      </c>
      <c r="K130" s="298"/>
      <c r="L130" s="298"/>
      <c r="M130" s="10"/>
      <c r="N130" s="10"/>
      <c r="O130" s="10"/>
      <c r="P130" s="298" t="s">
        <v>219</v>
      </c>
      <c r="Q130" s="298"/>
      <c r="R130" s="298"/>
      <c r="S130" s="460" t="s">
        <v>176</v>
      </c>
      <c r="T130" s="461"/>
      <c r="U130" s="461"/>
      <c r="V130" s="462"/>
      <c r="W130" s="554"/>
      <c r="X130" s="357" t="s">
        <v>227</v>
      </c>
      <c r="Y130" s="463"/>
      <c r="Z130" s="464"/>
      <c r="AA130" s="10"/>
      <c r="AB130" s="10"/>
      <c r="AC130" s="298" t="s">
        <v>71</v>
      </c>
      <c r="AD130" s="298"/>
      <c r="AE130" s="298"/>
      <c r="AF130" s="379" t="s">
        <v>79</v>
      </c>
      <c r="AG130" s="428"/>
      <c r="AQ130" s="275"/>
    </row>
    <row r="131" spans="2:43" x14ac:dyDescent="0.2">
      <c r="B131" s="572"/>
      <c r="C131" s="48" t="s">
        <v>35</v>
      </c>
      <c r="D131" s="10"/>
      <c r="E131" s="10"/>
      <c r="F131" s="10"/>
      <c r="G131" s="298" t="s">
        <v>233</v>
      </c>
      <c r="H131" s="298"/>
      <c r="I131" s="298"/>
      <c r="J131" s="10"/>
      <c r="K131" s="10"/>
      <c r="L131" s="429" t="s">
        <v>218</v>
      </c>
      <c r="M131" s="429"/>
      <c r="N131" s="429"/>
      <c r="O131" s="298" t="s">
        <v>241</v>
      </c>
      <c r="P131" s="298"/>
      <c r="Q131" s="298"/>
      <c r="R131" s="10"/>
      <c r="S131" s="10"/>
      <c r="T131" s="10"/>
      <c r="U131" s="10"/>
      <c r="V131" s="10"/>
      <c r="W131" s="554"/>
      <c r="X131" s="10"/>
      <c r="Y131" s="10"/>
      <c r="Z131" s="10"/>
      <c r="AA131" s="298" t="s">
        <v>33</v>
      </c>
      <c r="AB131" s="298"/>
      <c r="AC131" s="298"/>
      <c r="AD131" s="10"/>
      <c r="AE131" s="10"/>
      <c r="AF131" s="10"/>
      <c r="AG131" s="204" t="s">
        <v>129</v>
      </c>
      <c r="AQ131" s="275"/>
    </row>
    <row r="132" spans="2:43" x14ac:dyDescent="0.2">
      <c r="B132" s="573"/>
      <c r="C132" s="28"/>
      <c r="D132" s="318" t="s">
        <v>220</v>
      </c>
      <c r="E132" s="318"/>
      <c r="F132" s="318"/>
      <c r="G132" s="28"/>
      <c r="H132" s="28"/>
      <c r="I132" s="318" t="s">
        <v>194</v>
      </c>
      <c r="J132" s="318"/>
      <c r="K132" s="318"/>
      <c r="L132" s="28"/>
      <c r="M132" s="318" t="s">
        <v>238</v>
      </c>
      <c r="N132" s="318"/>
      <c r="O132" s="318"/>
      <c r="P132" s="28"/>
      <c r="Q132" s="28"/>
      <c r="R132" s="318" t="s">
        <v>228</v>
      </c>
      <c r="S132" s="318"/>
      <c r="T132" s="318"/>
      <c r="U132" s="28"/>
      <c r="V132" s="28"/>
      <c r="W132" s="555"/>
      <c r="X132" s="114"/>
      <c r="Y132" s="114"/>
      <c r="Z132" s="318" t="s">
        <v>240</v>
      </c>
      <c r="AA132" s="318"/>
      <c r="AB132" s="318"/>
      <c r="AC132" s="28"/>
      <c r="AD132" s="318" t="s">
        <v>132</v>
      </c>
      <c r="AE132" s="318"/>
      <c r="AF132" s="318"/>
      <c r="AG132" s="255"/>
      <c r="AQ132" s="275"/>
    </row>
    <row r="133" spans="2:43" ht="13.5" customHeight="1" x14ac:dyDescent="0.2">
      <c r="B133" s="519" t="s">
        <v>105</v>
      </c>
      <c r="C133" s="49" t="s">
        <v>173</v>
      </c>
      <c r="D133" s="361" t="s">
        <v>31</v>
      </c>
      <c r="E133" s="362"/>
      <c r="F133" s="362"/>
      <c r="G133" s="362"/>
      <c r="H133" s="345" t="s">
        <v>61</v>
      </c>
      <c r="I133" s="346"/>
      <c r="J133" s="345" t="s">
        <v>112</v>
      </c>
      <c r="K133" s="346"/>
      <c r="L133" s="465" t="s">
        <v>10</v>
      </c>
      <c r="M133" s="466"/>
      <c r="N133" s="467"/>
      <c r="O133" s="135"/>
      <c r="P133" s="345" t="s">
        <v>161</v>
      </c>
      <c r="Q133" s="346"/>
      <c r="R133" s="347"/>
      <c r="S133" s="155"/>
      <c r="T133" s="157"/>
      <c r="U133" s="345" t="s">
        <v>43</v>
      </c>
      <c r="V133" s="346"/>
      <c r="W133" s="109"/>
      <c r="X133" s="345" t="s">
        <v>213</v>
      </c>
      <c r="Y133" s="346"/>
      <c r="Z133" s="347"/>
      <c r="AA133" s="361" t="s">
        <v>178</v>
      </c>
      <c r="AB133" s="362"/>
      <c r="AC133" s="362"/>
      <c r="AD133" s="362"/>
      <c r="AE133" s="345" t="s">
        <v>140</v>
      </c>
      <c r="AF133" s="346"/>
      <c r="AG133" s="468"/>
    </row>
    <row r="134" spans="2:43" ht="13.5" customHeight="1" x14ac:dyDescent="0.2">
      <c r="B134" s="520"/>
      <c r="C134" s="291" t="s">
        <v>86</v>
      </c>
      <c r="D134" s="292"/>
      <c r="E134" s="293"/>
      <c r="F134" s="84"/>
      <c r="G134" s="89"/>
      <c r="H134" s="89"/>
      <c r="I134" s="101"/>
      <c r="J134" s="291" t="s">
        <v>84</v>
      </c>
      <c r="K134" s="292"/>
      <c r="L134" s="293"/>
      <c r="M134" s="291" t="s">
        <v>54</v>
      </c>
      <c r="N134" s="292"/>
      <c r="O134" s="293"/>
      <c r="P134" s="101"/>
      <c r="Q134" s="101"/>
      <c r="R134" s="291" t="s">
        <v>91</v>
      </c>
      <c r="S134" s="292"/>
      <c r="T134" s="293"/>
      <c r="U134" s="106"/>
      <c r="V134" s="84"/>
      <c r="W134" s="89"/>
      <c r="X134" s="106"/>
      <c r="Y134" s="101"/>
      <c r="Z134" s="101"/>
      <c r="AA134" s="101"/>
      <c r="AB134" s="101"/>
      <c r="AC134" s="101"/>
      <c r="AD134" s="84"/>
      <c r="AE134" s="89"/>
      <c r="AF134" s="224"/>
      <c r="AG134" s="256"/>
      <c r="AQ134" s="275"/>
    </row>
    <row r="135" spans="2:43" x14ac:dyDescent="0.2">
      <c r="B135" s="521"/>
      <c r="C135" s="28"/>
      <c r="D135" s="28"/>
      <c r="E135" s="78"/>
      <c r="F135" s="469" t="s">
        <v>38</v>
      </c>
      <c r="G135" s="469"/>
      <c r="H135" s="469" t="s">
        <v>88</v>
      </c>
      <c r="I135" s="469"/>
      <c r="J135" s="86"/>
      <c r="K135" s="86"/>
      <c r="L135" s="86"/>
      <c r="M135" s="28"/>
      <c r="N135" s="28"/>
      <c r="O135" s="307" t="s">
        <v>241</v>
      </c>
      <c r="P135" s="307"/>
      <c r="Q135" s="307"/>
      <c r="R135" s="78"/>
      <c r="S135" s="310" t="s">
        <v>176</v>
      </c>
      <c r="T135" s="470"/>
      <c r="U135" s="470"/>
      <c r="V135" s="311"/>
      <c r="W135" s="28"/>
      <c r="X135" s="471" t="s">
        <v>227</v>
      </c>
      <c r="Y135" s="472"/>
      <c r="Z135" s="473"/>
      <c r="AA135" s="307" t="s">
        <v>33</v>
      </c>
      <c r="AB135" s="307"/>
      <c r="AC135" s="307"/>
      <c r="AD135" s="469" t="s">
        <v>71</v>
      </c>
      <c r="AE135" s="469"/>
      <c r="AF135" s="389" t="s">
        <v>79</v>
      </c>
      <c r="AG135" s="474"/>
      <c r="AQ135" s="275"/>
    </row>
    <row r="136" spans="2:43" ht="13.5" customHeight="1" x14ac:dyDescent="0.2">
      <c r="B136" s="522" t="s">
        <v>103</v>
      </c>
      <c r="C136" s="50" t="s">
        <v>173</v>
      </c>
      <c r="D136" s="312" t="s">
        <v>31</v>
      </c>
      <c r="E136" s="312"/>
      <c r="F136" s="312"/>
      <c r="G136" s="312"/>
      <c r="H136" s="15"/>
      <c r="I136" s="313" t="s">
        <v>112</v>
      </c>
      <c r="J136" s="313"/>
      <c r="K136" s="313"/>
      <c r="L136" s="475" t="s">
        <v>10</v>
      </c>
      <c r="M136" s="475"/>
      <c r="N136" s="475"/>
      <c r="O136" s="94" t="s">
        <v>54</v>
      </c>
      <c r="P136" s="313" t="s">
        <v>161</v>
      </c>
      <c r="Q136" s="313"/>
      <c r="R136" s="313"/>
      <c r="S136" s="476" t="s">
        <v>91</v>
      </c>
      <c r="T136" s="476"/>
      <c r="U136" s="477" t="s">
        <v>232</v>
      </c>
      <c r="V136" s="305"/>
      <c r="W136" s="15"/>
      <c r="X136" s="313" t="s">
        <v>213</v>
      </c>
      <c r="Y136" s="313"/>
      <c r="Z136" s="313"/>
      <c r="AA136" s="312" t="s">
        <v>178</v>
      </c>
      <c r="AB136" s="312"/>
      <c r="AC136" s="312"/>
      <c r="AD136" s="312"/>
      <c r="AE136" s="313" t="s">
        <v>140</v>
      </c>
      <c r="AF136" s="313"/>
      <c r="AG136" s="314"/>
      <c r="AQ136" s="275"/>
    </row>
    <row r="137" spans="2:43" x14ac:dyDescent="0.2">
      <c r="B137" s="523"/>
      <c r="C137" s="315" t="s">
        <v>86</v>
      </c>
      <c r="D137" s="315"/>
      <c r="E137" s="315"/>
      <c r="F137" s="10"/>
      <c r="G137" s="315" t="s">
        <v>61</v>
      </c>
      <c r="H137" s="315"/>
      <c r="I137" s="315"/>
      <c r="J137" s="315" t="s">
        <v>84</v>
      </c>
      <c r="K137" s="315"/>
      <c r="L137" s="315"/>
      <c r="M137" s="315" t="s">
        <v>54</v>
      </c>
      <c r="N137" s="315"/>
      <c r="O137" s="315" t="s">
        <v>20</v>
      </c>
      <c r="P137" s="315"/>
      <c r="Q137" s="315"/>
      <c r="R137" s="145" t="s">
        <v>91</v>
      </c>
      <c r="S137" s="295" t="s">
        <v>220</v>
      </c>
      <c r="T137" s="296"/>
      <c r="U137" s="297"/>
      <c r="V137" s="478" t="s">
        <v>278</v>
      </c>
      <c r="W137" s="478"/>
      <c r="X137" s="478"/>
      <c r="Y137" s="315" t="s">
        <v>38</v>
      </c>
      <c r="Z137" s="315"/>
      <c r="AA137" s="315"/>
      <c r="AB137" s="120" t="s">
        <v>279</v>
      </c>
      <c r="AC137" s="315" t="s">
        <v>230</v>
      </c>
      <c r="AD137" s="315"/>
      <c r="AE137" s="315"/>
      <c r="AF137" s="10"/>
      <c r="AG137" s="217" t="s">
        <v>181</v>
      </c>
      <c r="AQ137" s="275"/>
    </row>
    <row r="138" spans="2:43" x14ac:dyDescent="0.2">
      <c r="B138" s="523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203"/>
      <c r="AQ138" s="275"/>
    </row>
    <row r="139" spans="2:43" x14ac:dyDescent="0.2">
      <c r="B139" s="523"/>
      <c r="C139" s="479" t="s">
        <v>275</v>
      </c>
      <c r="D139" s="480"/>
      <c r="E139" s="298" t="s">
        <v>163</v>
      </c>
      <c r="F139" s="298"/>
      <c r="G139" s="298"/>
      <c r="H139" s="379" t="s">
        <v>276</v>
      </c>
      <c r="I139" s="379"/>
      <c r="J139" s="298" t="s">
        <v>13</v>
      </c>
      <c r="K139" s="298"/>
      <c r="L139" s="298"/>
      <c r="M139" s="379" t="s">
        <v>239</v>
      </c>
      <c r="N139" s="379"/>
      <c r="O139" s="298" t="s">
        <v>241</v>
      </c>
      <c r="P139" s="298"/>
      <c r="Q139" s="298"/>
      <c r="R139" s="30" t="s">
        <v>277</v>
      </c>
      <c r="S139" s="299" t="s">
        <v>176</v>
      </c>
      <c r="T139" s="299"/>
      <c r="U139" s="299"/>
      <c r="V139" s="299"/>
      <c r="W139" s="10"/>
      <c r="X139" s="356" t="s">
        <v>227</v>
      </c>
      <c r="Y139" s="356"/>
      <c r="Z139" s="356"/>
      <c r="AA139" s="379" t="s">
        <v>229</v>
      </c>
      <c r="AB139" s="379"/>
      <c r="AC139" s="298" t="s">
        <v>71</v>
      </c>
      <c r="AD139" s="298"/>
      <c r="AE139" s="298"/>
      <c r="AF139" s="379" t="s">
        <v>79</v>
      </c>
      <c r="AG139" s="428"/>
      <c r="AQ139" s="275"/>
    </row>
    <row r="140" spans="2:43" x14ac:dyDescent="0.2">
      <c r="B140" s="524"/>
      <c r="C140" s="32" t="s">
        <v>35</v>
      </c>
      <c r="D140" s="318" t="s">
        <v>220</v>
      </c>
      <c r="E140" s="318"/>
      <c r="F140" s="318"/>
      <c r="G140" s="32" t="s">
        <v>276</v>
      </c>
      <c r="H140" s="28"/>
      <c r="I140" s="318" t="s">
        <v>194</v>
      </c>
      <c r="J140" s="318"/>
      <c r="K140" s="318"/>
      <c r="L140" s="32" t="s">
        <v>221</v>
      </c>
      <c r="M140" s="318" t="s">
        <v>238</v>
      </c>
      <c r="N140" s="318"/>
      <c r="O140" s="318"/>
      <c r="P140" s="389" t="s">
        <v>277</v>
      </c>
      <c r="Q140" s="389"/>
      <c r="R140" s="318" t="s">
        <v>228</v>
      </c>
      <c r="S140" s="318"/>
      <c r="T140" s="318"/>
      <c r="U140" s="28"/>
      <c r="V140" s="28"/>
      <c r="W140" s="318" t="s">
        <v>211</v>
      </c>
      <c r="X140" s="318"/>
      <c r="Y140" s="318"/>
      <c r="Z140" s="318" t="s">
        <v>240</v>
      </c>
      <c r="AA140" s="318"/>
      <c r="AB140" s="318"/>
      <c r="AC140" s="32" t="s">
        <v>229</v>
      </c>
      <c r="AD140" s="318" t="s">
        <v>132</v>
      </c>
      <c r="AE140" s="318"/>
      <c r="AF140" s="318"/>
      <c r="AG140" s="218" t="s">
        <v>129</v>
      </c>
      <c r="AQ140" s="275"/>
    </row>
    <row r="141" spans="2:43" ht="13.5" customHeight="1" x14ac:dyDescent="0.2">
      <c r="B141" s="528" t="s">
        <v>106</v>
      </c>
      <c r="C141" s="47" t="s">
        <v>173</v>
      </c>
      <c r="D141" s="289" t="s">
        <v>31</v>
      </c>
      <c r="E141" s="290"/>
      <c r="F141" s="290"/>
      <c r="G141" s="290"/>
      <c r="H141" s="556" t="s">
        <v>302</v>
      </c>
      <c r="I141" s="292" t="s">
        <v>112</v>
      </c>
      <c r="J141" s="292"/>
      <c r="K141" s="293"/>
      <c r="L141" s="446" t="s">
        <v>10</v>
      </c>
      <c r="M141" s="447"/>
      <c r="N141" s="448"/>
      <c r="O141" s="291" t="s">
        <v>20</v>
      </c>
      <c r="P141" s="292"/>
      <c r="Q141" s="293"/>
      <c r="R141" s="345" t="s">
        <v>91</v>
      </c>
      <c r="S141" s="346"/>
      <c r="T141" s="347"/>
      <c r="U141" s="158" t="s">
        <v>306</v>
      </c>
      <c r="V141" s="320" t="s">
        <v>252</v>
      </c>
      <c r="W141" s="481"/>
      <c r="X141" s="321"/>
      <c r="Y141" s="482" t="s">
        <v>291</v>
      </c>
      <c r="Z141" s="483"/>
      <c r="AA141" s="289" t="s">
        <v>178</v>
      </c>
      <c r="AB141" s="290"/>
      <c r="AC141" s="290"/>
      <c r="AD141" s="290"/>
      <c r="AE141" s="291" t="s">
        <v>140</v>
      </c>
      <c r="AF141" s="292"/>
      <c r="AG141" s="294"/>
    </row>
    <row r="142" spans="2:43" ht="13.5" customHeight="1" x14ac:dyDescent="0.2">
      <c r="B142" s="530"/>
      <c r="C142" s="345" t="s">
        <v>86</v>
      </c>
      <c r="D142" s="346"/>
      <c r="E142" s="347"/>
      <c r="F142" s="10"/>
      <c r="G142" s="90"/>
      <c r="H142" s="556"/>
      <c r="I142" s="103" t="s">
        <v>61</v>
      </c>
      <c r="J142" s="345" t="s">
        <v>84</v>
      </c>
      <c r="K142" s="346"/>
      <c r="L142" s="347"/>
      <c r="M142" s="345" t="s">
        <v>54</v>
      </c>
      <c r="N142" s="346"/>
      <c r="O142" s="347"/>
      <c r="P142" s="291" t="s">
        <v>161</v>
      </c>
      <c r="Q142" s="292"/>
      <c r="R142" s="293"/>
      <c r="S142" s="10"/>
      <c r="T142" s="158" t="s">
        <v>306</v>
      </c>
      <c r="U142" s="162" t="s">
        <v>307</v>
      </c>
      <c r="V142" s="158" t="s">
        <v>306</v>
      </c>
      <c r="W142" s="385" t="s">
        <v>51</v>
      </c>
      <c r="X142" s="484"/>
      <c r="Y142" s="386"/>
      <c r="Z142" s="292" t="s">
        <v>308</v>
      </c>
      <c r="AA142" s="293"/>
      <c r="AB142" s="10"/>
      <c r="AC142" s="345" t="s">
        <v>230</v>
      </c>
      <c r="AD142" s="346"/>
      <c r="AE142" s="347"/>
      <c r="AF142" s="10"/>
      <c r="AG142" s="253" t="s">
        <v>181</v>
      </c>
      <c r="AQ142" s="275"/>
    </row>
    <row r="143" spans="2:43" x14ac:dyDescent="0.2">
      <c r="B143" s="530"/>
      <c r="C143" s="48" t="s">
        <v>35</v>
      </c>
      <c r="D143" s="62" t="s">
        <v>117</v>
      </c>
      <c r="E143" s="298" t="s">
        <v>85</v>
      </c>
      <c r="F143" s="298"/>
      <c r="G143" s="369"/>
      <c r="H143" s="556"/>
      <c r="I143" s="104" t="s">
        <v>303</v>
      </c>
      <c r="J143" s="298" t="s">
        <v>13</v>
      </c>
      <c r="K143" s="298"/>
      <c r="L143" s="298"/>
      <c r="M143" s="324" t="s">
        <v>304</v>
      </c>
      <c r="N143" s="325"/>
      <c r="O143" s="62" t="s">
        <v>274</v>
      </c>
      <c r="P143" s="298" t="s">
        <v>219</v>
      </c>
      <c r="Q143" s="298"/>
      <c r="R143" s="298"/>
      <c r="S143" s="460" t="s">
        <v>176</v>
      </c>
      <c r="T143" s="461"/>
      <c r="U143" s="461"/>
      <c r="V143" s="462"/>
      <c r="W143" s="101"/>
      <c r="X143" s="357" t="s">
        <v>227</v>
      </c>
      <c r="Y143" s="463"/>
      <c r="Z143" s="464"/>
      <c r="AA143" s="298" t="s">
        <v>33</v>
      </c>
      <c r="AB143" s="298"/>
      <c r="AC143" s="298"/>
      <c r="AD143" s="324" t="s">
        <v>71</v>
      </c>
      <c r="AE143" s="325"/>
      <c r="AF143" s="379" t="s">
        <v>79</v>
      </c>
      <c r="AG143" s="428"/>
      <c r="AQ143" s="275"/>
    </row>
    <row r="144" spans="2:43" x14ac:dyDescent="0.2">
      <c r="B144" s="531"/>
      <c r="C144" s="51" t="s">
        <v>117</v>
      </c>
      <c r="D144" s="318" t="s">
        <v>220</v>
      </c>
      <c r="E144" s="318"/>
      <c r="F144" s="318"/>
      <c r="G144" s="91"/>
      <c r="H144" s="556"/>
      <c r="I144" s="485" t="s">
        <v>194</v>
      </c>
      <c r="J144" s="318"/>
      <c r="K144" s="318"/>
      <c r="L144" s="125" t="s">
        <v>159</v>
      </c>
      <c r="M144" s="486" t="s">
        <v>238</v>
      </c>
      <c r="N144" s="487"/>
      <c r="O144" s="485"/>
      <c r="P144" s="437" t="s">
        <v>305</v>
      </c>
      <c r="Q144" s="437"/>
      <c r="R144" s="318" t="s">
        <v>228</v>
      </c>
      <c r="S144" s="318"/>
      <c r="T144" s="318"/>
      <c r="U144" s="28"/>
      <c r="V144" s="28"/>
      <c r="W144" s="318" t="s">
        <v>211</v>
      </c>
      <c r="X144" s="318"/>
      <c r="Y144" s="318"/>
      <c r="Z144" s="318" t="s">
        <v>240</v>
      </c>
      <c r="AA144" s="318"/>
      <c r="AB144" s="318"/>
      <c r="AC144" s="190" t="s">
        <v>71</v>
      </c>
      <c r="AD144" s="318" t="s">
        <v>132</v>
      </c>
      <c r="AE144" s="318"/>
      <c r="AF144" s="318"/>
      <c r="AG144" s="218" t="s">
        <v>129</v>
      </c>
      <c r="AQ144" s="275"/>
    </row>
    <row r="145" spans="2:43" x14ac:dyDescent="0.2">
      <c r="B145" s="4"/>
      <c r="AQ145" s="275"/>
    </row>
    <row r="146" spans="2:43" hidden="1" x14ac:dyDescent="0.2">
      <c r="B146" s="532" t="s">
        <v>47</v>
      </c>
      <c r="C146" s="33"/>
      <c r="D146" s="33"/>
      <c r="E146" s="443" t="s">
        <v>110</v>
      </c>
      <c r="F146" s="443"/>
      <c r="G146" s="443"/>
      <c r="H146" s="33"/>
      <c r="I146" s="40"/>
      <c r="J146" s="326" t="s">
        <v>13</v>
      </c>
      <c r="K146" s="326"/>
      <c r="L146" s="326"/>
      <c r="M146" s="33"/>
      <c r="N146" s="33"/>
      <c r="O146" s="40"/>
      <c r="P146" s="326" t="s">
        <v>219</v>
      </c>
      <c r="Q146" s="326"/>
      <c r="R146" s="326"/>
      <c r="S146" s="33"/>
      <c r="T146" s="40"/>
      <c r="U146" s="33"/>
      <c r="V146" s="40"/>
      <c r="W146" s="33"/>
      <c r="X146" s="40"/>
      <c r="Y146" s="330" t="s">
        <v>38</v>
      </c>
      <c r="Z146" s="331"/>
      <c r="AA146" s="332"/>
      <c r="AB146" s="40"/>
      <c r="AC146" s="33"/>
      <c r="AD146" s="40"/>
      <c r="AE146" s="33"/>
      <c r="AF146" s="40"/>
      <c r="AG146" s="206" t="s">
        <v>129</v>
      </c>
      <c r="AQ146" s="275"/>
    </row>
    <row r="147" spans="2:43" hidden="1" x14ac:dyDescent="0.2">
      <c r="B147" s="533"/>
      <c r="C147" s="17"/>
      <c r="D147" s="35"/>
      <c r="E147" s="17"/>
      <c r="F147" s="35"/>
      <c r="G147" s="17"/>
      <c r="H147" s="35"/>
      <c r="I147" s="17"/>
      <c r="J147" s="35"/>
      <c r="K147" s="17"/>
      <c r="L147" s="35"/>
      <c r="M147" s="17"/>
      <c r="N147" s="35"/>
      <c r="O147" s="17"/>
      <c r="P147" s="35"/>
      <c r="Q147" s="17"/>
      <c r="R147" s="35"/>
      <c r="S147" s="17"/>
      <c r="T147" s="35"/>
      <c r="U147" s="17"/>
      <c r="V147" s="35"/>
      <c r="W147" s="17"/>
      <c r="X147" s="35"/>
      <c r="Y147" s="17"/>
      <c r="Z147" s="35"/>
      <c r="AA147" s="17"/>
      <c r="AB147" s="35"/>
      <c r="AC147" s="17"/>
      <c r="AD147" s="35"/>
      <c r="AE147" s="17"/>
      <c r="AF147" s="17"/>
      <c r="AG147" s="221"/>
      <c r="AQ147" s="275"/>
    </row>
    <row r="148" spans="2:43" hidden="1" x14ac:dyDescent="0.2">
      <c r="B148" s="536" t="s">
        <v>41</v>
      </c>
      <c r="C148" s="330" t="s">
        <v>86</v>
      </c>
      <c r="D148" s="331"/>
      <c r="E148" s="332"/>
      <c r="F148" s="40"/>
      <c r="G148" s="33"/>
      <c r="H148" s="40"/>
      <c r="I148" s="33"/>
      <c r="J148" s="40"/>
      <c r="K148" s="33"/>
      <c r="L148" s="446" t="s">
        <v>10</v>
      </c>
      <c r="M148" s="447"/>
      <c r="N148" s="448"/>
      <c r="O148" s="330" t="s">
        <v>20</v>
      </c>
      <c r="P148" s="331"/>
      <c r="Q148" s="332"/>
      <c r="R148" s="40"/>
      <c r="S148" s="488" t="s">
        <v>220</v>
      </c>
      <c r="T148" s="489"/>
      <c r="U148" s="490"/>
      <c r="V148" s="33"/>
      <c r="W148" s="40"/>
      <c r="X148" s="357" t="s">
        <v>227</v>
      </c>
      <c r="Y148" s="463"/>
      <c r="Z148" s="464"/>
      <c r="AA148" s="40"/>
      <c r="AB148" s="33"/>
      <c r="AC148" s="438" t="s">
        <v>151</v>
      </c>
      <c r="AD148" s="439"/>
      <c r="AE148" s="440"/>
      <c r="AF148" s="390" t="s">
        <v>79</v>
      </c>
      <c r="AG148" s="444"/>
      <c r="AQ148" s="275"/>
    </row>
    <row r="149" spans="2:43" hidden="1" x14ac:dyDescent="0.2">
      <c r="B149" s="537"/>
      <c r="C149" s="17"/>
      <c r="D149" s="327" t="s">
        <v>220</v>
      </c>
      <c r="E149" s="327"/>
      <c r="F149" s="327"/>
      <c r="G149" s="35"/>
      <c r="H149" s="333" t="s">
        <v>0</v>
      </c>
      <c r="I149" s="334"/>
      <c r="J149" s="335"/>
      <c r="K149" s="35"/>
      <c r="L149" s="17"/>
      <c r="M149" s="35"/>
      <c r="N149" s="17"/>
      <c r="O149" s="35"/>
      <c r="P149" s="17"/>
      <c r="Q149" s="35"/>
      <c r="R149" s="327" t="s">
        <v>228</v>
      </c>
      <c r="S149" s="327"/>
      <c r="T149" s="327"/>
      <c r="U149" s="35"/>
      <c r="V149" s="17"/>
      <c r="W149" s="35"/>
      <c r="X149" s="17"/>
      <c r="Y149" s="35"/>
      <c r="Z149" s="17"/>
      <c r="AA149" s="35"/>
      <c r="AB149" s="17"/>
      <c r="AC149" s="35"/>
      <c r="AD149" s="17"/>
      <c r="AE149" s="35"/>
      <c r="AF149" s="17"/>
      <c r="AG149" s="221"/>
      <c r="AQ149" s="275"/>
    </row>
    <row r="150" spans="2:43" hidden="1" x14ac:dyDescent="0.2">
      <c r="B150" s="536" t="s">
        <v>28</v>
      </c>
      <c r="C150" s="390" t="s">
        <v>132</v>
      </c>
      <c r="D150" s="390"/>
      <c r="E150" s="40"/>
      <c r="F150" s="33"/>
      <c r="G150" s="40"/>
      <c r="H150" s="33"/>
      <c r="I150" s="40"/>
      <c r="J150" s="33"/>
      <c r="K150" s="40"/>
      <c r="L150" s="443" t="s">
        <v>218</v>
      </c>
      <c r="M150" s="443"/>
      <c r="N150" s="443"/>
      <c r="O150" s="40"/>
      <c r="P150" s="33"/>
      <c r="Q150" s="40"/>
      <c r="R150" s="33"/>
      <c r="S150" s="40"/>
      <c r="T150" s="330" t="s">
        <v>232</v>
      </c>
      <c r="U150" s="331"/>
      <c r="V150" s="332"/>
      <c r="W150" s="40"/>
      <c r="X150" s="33"/>
      <c r="Y150" s="40"/>
      <c r="Z150" s="33"/>
      <c r="AA150" s="40"/>
      <c r="AB150" s="33"/>
      <c r="AC150" s="40"/>
      <c r="AD150" s="33"/>
      <c r="AE150" s="40"/>
      <c r="AF150" s="33"/>
      <c r="AG150" s="220"/>
      <c r="AQ150" s="275"/>
    </row>
    <row r="151" spans="2:43" hidden="1" x14ac:dyDescent="0.2">
      <c r="B151" s="537"/>
      <c r="C151" s="17"/>
      <c r="D151" s="35"/>
      <c r="E151" s="17"/>
      <c r="F151" s="35"/>
      <c r="G151" s="17"/>
      <c r="H151" s="35"/>
      <c r="I151" s="17"/>
      <c r="J151" s="35"/>
      <c r="K151" s="17"/>
      <c r="L151" s="35"/>
      <c r="M151" s="17"/>
      <c r="N151" s="35"/>
      <c r="O151" s="17"/>
      <c r="P151" s="35"/>
      <c r="Q151" s="17"/>
      <c r="R151" s="35"/>
      <c r="S151" s="17"/>
      <c r="T151" s="35"/>
      <c r="U151" s="17"/>
      <c r="V151" s="35"/>
      <c r="W151" s="17"/>
      <c r="X151" s="35"/>
      <c r="Y151" s="17"/>
      <c r="Z151" s="35"/>
      <c r="AA151" s="17"/>
      <c r="AB151" s="35"/>
      <c r="AC151" s="17"/>
      <c r="AD151" s="327" t="s">
        <v>132</v>
      </c>
      <c r="AE151" s="327"/>
      <c r="AF151" s="327"/>
      <c r="AG151" s="221"/>
      <c r="AQ151" s="275"/>
    </row>
    <row r="152" spans="2:43" hidden="1" x14ac:dyDescent="0.2">
      <c r="B152" s="536" t="s">
        <v>50</v>
      </c>
      <c r="C152" s="33"/>
      <c r="D152" s="40"/>
      <c r="E152" s="33"/>
      <c r="F152" s="40"/>
      <c r="G152" s="326" t="s">
        <v>233</v>
      </c>
      <c r="H152" s="326"/>
      <c r="I152" s="326"/>
      <c r="J152" s="330" t="s">
        <v>84</v>
      </c>
      <c r="K152" s="331"/>
      <c r="L152" s="332"/>
      <c r="M152" s="330" t="s">
        <v>54</v>
      </c>
      <c r="N152" s="331"/>
      <c r="O152" s="332"/>
      <c r="P152" s="33"/>
      <c r="Q152" s="40"/>
      <c r="R152" s="330" t="s">
        <v>91</v>
      </c>
      <c r="S152" s="331"/>
      <c r="T152" s="332"/>
      <c r="U152" s="33"/>
      <c r="V152" s="40"/>
      <c r="W152" s="330" t="s">
        <v>51</v>
      </c>
      <c r="X152" s="331"/>
      <c r="Y152" s="332"/>
      <c r="Z152" s="40"/>
      <c r="AA152" s="289" t="s">
        <v>178</v>
      </c>
      <c r="AB152" s="290"/>
      <c r="AC152" s="290"/>
      <c r="AD152" s="290"/>
      <c r="AE152" s="40"/>
      <c r="AF152" s="33"/>
      <c r="AG152" s="220"/>
      <c r="AQ152" s="275"/>
    </row>
    <row r="153" spans="2:43" hidden="1" x14ac:dyDescent="0.2">
      <c r="B153" s="537"/>
      <c r="C153" s="17"/>
      <c r="D153" s="35"/>
      <c r="E153" s="17"/>
      <c r="F153" s="35"/>
      <c r="G153" s="17"/>
      <c r="H153" s="35"/>
      <c r="I153" s="17"/>
      <c r="J153" s="35"/>
      <c r="K153" s="17"/>
      <c r="L153" s="35"/>
      <c r="M153" s="17"/>
      <c r="N153" s="35"/>
      <c r="O153" s="17"/>
      <c r="P153" s="35"/>
      <c r="Q153" s="17"/>
      <c r="R153" s="35"/>
      <c r="S153" s="17"/>
      <c r="T153" s="35"/>
      <c r="U153" s="17"/>
      <c r="V153" s="35"/>
      <c r="W153" s="327" t="s">
        <v>211</v>
      </c>
      <c r="X153" s="327"/>
      <c r="Y153" s="327"/>
      <c r="Z153" s="17"/>
      <c r="AA153" s="35"/>
      <c r="AB153" s="17"/>
      <c r="AC153" s="35"/>
      <c r="AD153" s="17"/>
      <c r="AE153" s="35"/>
      <c r="AF153" s="406" t="s">
        <v>234</v>
      </c>
      <c r="AG153" s="491"/>
      <c r="AQ153" s="275"/>
    </row>
    <row r="154" spans="2:43" hidden="1" x14ac:dyDescent="0.2">
      <c r="B154" s="536" t="s">
        <v>57</v>
      </c>
      <c r="C154" s="33"/>
      <c r="D154" s="40"/>
      <c r="E154" s="33"/>
      <c r="F154" s="40"/>
      <c r="G154" s="330" t="s">
        <v>61</v>
      </c>
      <c r="H154" s="331"/>
      <c r="I154" s="332"/>
      <c r="J154" s="33"/>
      <c r="K154" s="40"/>
      <c r="L154" s="33"/>
      <c r="M154" s="40"/>
      <c r="N154" s="33"/>
      <c r="O154" s="40"/>
      <c r="P154" s="33"/>
      <c r="Q154" s="40"/>
      <c r="R154" s="33"/>
      <c r="S154" s="40"/>
      <c r="T154" s="33"/>
      <c r="U154" s="40"/>
      <c r="V154" s="438" t="s">
        <v>237</v>
      </c>
      <c r="W154" s="439"/>
      <c r="X154" s="440"/>
      <c r="Y154" s="33"/>
      <c r="Z154" s="40"/>
      <c r="AA154" s="326" t="s">
        <v>33</v>
      </c>
      <c r="AB154" s="326"/>
      <c r="AC154" s="326"/>
      <c r="AD154" s="40"/>
      <c r="AE154" s="330" t="s">
        <v>140</v>
      </c>
      <c r="AF154" s="331"/>
      <c r="AG154" s="337"/>
      <c r="AQ154" s="275"/>
    </row>
    <row r="155" spans="2:43" hidden="1" x14ac:dyDescent="0.2">
      <c r="B155" s="537"/>
      <c r="C155" s="17"/>
      <c r="D155" s="17"/>
      <c r="E155" s="17"/>
      <c r="F155" s="35"/>
      <c r="G155" s="17"/>
      <c r="H155" s="35"/>
      <c r="I155" s="17"/>
      <c r="J155" s="35"/>
      <c r="K155" s="17"/>
      <c r="L155" s="35"/>
      <c r="M155" s="17"/>
      <c r="N155" s="35"/>
      <c r="O155" s="333" t="s">
        <v>215</v>
      </c>
      <c r="P155" s="334"/>
      <c r="Q155" s="335"/>
      <c r="R155" s="17"/>
      <c r="S155" s="35"/>
      <c r="T155" s="17"/>
      <c r="U155" s="35"/>
      <c r="V155" s="17"/>
      <c r="W155" s="35"/>
      <c r="X155" s="17"/>
      <c r="Y155" s="35"/>
      <c r="Z155" s="333" t="s">
        <v>236</v>
      </c>
      <c r="AA155" s="334"/>
      <c r="AB155" s="335"/>
      <c r="AC155" s="35"/>
      <c r="AD155" s="17"/>
      <c r="AE155" s="35"/>
      <c r="AF155" s="17"/>
      <c r="AG155" s="221"/>
      <c r="AQ155" s="275"/>
    </row>
    <row r="156" spans="2:43" hidden="1" x14ac:dyDescent="0.2">
      <c r="B156" s="536" t="s">
        <v>25</v>
      </c>
      <c r="C156" s="47" t="s">
        <v>173</v>
      </c>
      <c r="D156" s="289" t="s">
        <v>31</v>
      </c>
      <c r="E156" s="290"/>
      <c r="F156" s="290"/>
      <c r="G156" s="290"/>
      <c r="H156" s="33"/>
      <c r="I156" s="330" t="s">
        <v>112</v>
      </c>
      <c r="J156" s="331"/>
      <c r="K156" s="332"/>
      <c r="L156" s="40"/>
      <c r="M156" s="33"/>
      <c r="N156" s="41"/>
      <c r="O156" s="40"/>
      <c r="P156" s="330" t="s">
        <v>161</v>
      </c>
      <c r="Q156" s="331"/>
      <c r="R156" s="332"/>
      <c r="S156" s="460" t="s">
        <v>176</v>
      </c>
      <c r="T156" s="461"/>
      <c r="U156" s="461"/>
      <c r="V156" s="462"/>
      <c r="W156" s="40"/>
      <c r="X156" s="291" t="s">
        <v>213</v>
      </c>
      <c r="Y156" s="292"/>
      <c r="Z156" s="293"/>
      <c r="AA156" s="41"/>
      <c r="AB156" s="41"/>
      <c r="AC156" s="298" t="s">
        <v>71</v>
      </c>
      <c r="AD156" s="298"/>
      <c r="AE156" s="298"/>
      <c r="AF156" s="33"/>
      <c r="AG156" s="220"/>
      <c r="AQ156" s="275"/>
    </row>
    <row r="157" spans="2:43" hidden="1" x14ac:dyDescent="0.2">
      <c r="B157" s="537"/>
      <c r="C157" s="17"/>
      <c r="D157" s="63"/>
      <c r="E157" s="63"/>
      <c r="F157" s="63"/>
      <c r="G157" s="63"/>
      <c r="H157" s="63"/>
      <c r="I157" s="63"/>
      <c r="J157" s="63"/>
      <c r="K157" s="63"/>
      <c r="L157" s="63"/>
      <c r="M157" s="327" t="s">
        <v>238</v>
      </c>
      <c r="N157" s="327"/>
      <c r="O157" s="327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17"/>
      <c r="AE157" s="35"/>
      <c r="AF157" s="17"/>
      <c r="AG157" s="221"/>
      <c r="AQ157" s="275"/>
    </row>
    <row r="158" spans="2:43" hidden="1" x14ac:dyDescent="0.2">
      <c r="B158" s="536" t="s">
        <v>11</v>
      </c>
      <c r="C158" s="48" t="s">
        <v>35</v>
      </c>
      <c r="D158" s="33"/>
      <c r="E158" s="40"/>
      <c r="F158" s="33"/>
      <c r="G158" s="40"/>
      <c r="H158" s="33"/>
      <c r="I158" s="40"/>
      <c r="J158" s="33"/>
      <c r="K158" s="40"/>
      <c r="L158" s="33"/>
      <c r="M158" s="33"/>
      <c r="N158" s="40"/>
      <c r="O158" s="298" t="s">
        <v>241</v>
      </c>
      <c r="P158" s="298"/>
      <c r="Q158" s="298"/>
      <c r="R158" s="40"/>
      <c r="S158" s="33"/>
      <c r="T158" s="40"/>
      <c r="U158" s="33"/>
      <c r="V158" s="40"/>
      <c r="W158" s="33"/>
      <c r="X158" s="40"/>
      <c r="Y158" s="33"/>
      <c r="Z158" s="40"/>
      <c r="AA158" s="33"/>
      <c r="AB158" s="40"/>
      <c r="AC158" s="33"/>
      <c r="AD158" s="40"/>
      <c r="AE158" s="33"/>
      <c r="AF158" s="40"/>
      <c r="AG158" s="257" t="s">
        <v>181</v>
      </c>
      <c r="AQ158" s="275"/>
    </row>
    <row r="159" spans="2:43" hidden="1" x14ac:dyDescent="0.2">
      <c r="B159" s="537"/>
      <c r="C159" s="17"/>
      <c r="D159" s="35"/>
      <c r="E159" s="17"/>
      <c r="F159" s="35"/>
      <c r="G159" s="17"/>
      <c r="H159" s="35"/>
      <c r="I159" s="327" t="s">
        <v>194</v>
      </c>
      <c r="J159" s="327"/>
      <c r="K159" s="327"/>
      <c r="L159" s="17"/>
      <c r="M159" s="35"/>
      <c r="N159" s="17"/>
      <c r="O159" s="35"/>
      <c r="P159" s="17"/>
      <c r="Q159" s="35"/>
      <c r="R159" s="17"/>
      <c r="S159" s="35"/>
      <c r="T159" s="17"/>
      <c r="U159" s="35"/>
      <c r="V159" s="17"/>
      <c r="W159" s="35"/>
      <c r="X159" s="17"/>
      <c r="Y159" s="35"/>
      <c r="Z159" s="327" t="s">
        <v>240</v>
      </c>
      <c r="AA159" s="327"/>
      <c r="AB159" s="327"/>
      <c r="AC159" s="17"/>
      <c r="AD159" s="17"/>
      <c r="AE159" s="35"/>
      <c r="AF159" s="17"/>
      <c r="AG159" s="221"/>
      <c r="AQ159" s="275"/>
    </row>
    <row r="160" spans="2:43" x14ac:dyDescent="0.2">
      <c r="B160" s="5"/>
      <c r="AQ160" s="275"/>
    </row>
    <row r="161" spans="2:43" x14ac:dyDescent="0.2">
      <c r="B161" s="515" t="s">
        <v>128</v>
      </c>
      <c r="C161" s="8">
        <v>1</v>
      </c>
      <c r="D161" s="8">
        <v>2</v>
      </c>
      <c r="E161" s="8">
        <v>3</v>
      </c>
      <c r="F161" s="8">
        <v>4</v>
      </c>
      <c r="G161" s="8">
        <v>5</v>
      </c>
      <c r="H161" s="8">
        <v>6</v>
      </c>
      <c r="I161" s="8">
        <v>7</v>
      </c>
      <c r="J161" s="8">
        <v>8</v>
      </c>
      <c r="K161" s="8">
        <v>9</v>
      </c>
      <c r="L161" s="8">
        <v>10</v>
      </c>
      <c r="M161" s="8">
        <v>11</v>
      </c>
      <c r="N161" s="8">
        <v>12</v>
      </c>
      <c r="O161" s="8">
        <v>13</v>
      </c>
      <c r="P161" s="8">
        <v>14</v>
      </c>
      <c r="Q161" s="8">
        <v>15</v>
      </c>
      <c r="R161" s="8">
        <v>16</v>
      </c>
      <c r="S161" s="8">
        <v>17</v>
      </c>
      <c r="T161" s="8">
        <v>18</v>
      </c>
      <c r="U161" s="8">
        <v>19</v>
      </c>
      <c r="V161" s="8">
        <v>20</v>
      </c>
      <c r="W161" s="8">
        <v>21</v>
      </c>
      <c r="X161" s="8">
        <v>22</v>
      </c>
      <c r="Y161" s="8">
        <v>23</v>
      </c>
      <c r="Z161" s="8">
        <v>24</v>
      </c>
      <c r="AA161" s="8">
        <v>25</v>
      </c>
      <c r="AB161" s="8">
        <v>26</v>
      </c>
      <c r="AC161" s="8">
        <v>27</v>
      </c>
      <c r="AD161" s="8">
        <v>28</v>
      </c>
      <c r="AE161" s="8">
        <v>29</v>
      </c>
      <c r="AF161" s="8">
        <v>30</v>
      </c>
      <c r="AG161" s="197">
        <v>31</v>
      </c>
      <c r="AQ161" s="275"/>
    </row>
    <row r="162" spans="2:43" x14ac:dyDescent="0.2">
      <c r="B162" s="516"/>
      <c r="C162" s="52" t="s">
        <v>30</v>
      </c>
      <c r="D162" s="52" t="s">
        <v>32</v>
      </c>
      <c r="E162" s="23" t="s">
        <v>2</v>
      </c>
      <c r="F162" s="23" t="s">
        <v>37</v>
      </c>
      <c r="G162" s="23" t="s">
        <v>21</v>
      </c>
      <c r="H162" s="23" t="s">
        <v>8</v>
      </c>
      <c r="I162" s="23" t="s">
        <v>29</v>
      </c>
      <c r="J162" s="52" t="s">
        <v>30</v>
      </c>
      <c r="K162" s="52" t="s">
        <v>32</v>
      </c>
      <c r="L162" s="23" t="s">
        <v>2</v>
      </c>
      <c r="M162" s="52" t="s">
        <v>37</v>
      </c>
      <c r="N162" s="23" t="s">
        <v>21</v>
      </c>
      <c r="O162" s="23" t="s">
        <v>8</v>
      </c>
      <c r="P162" s="23" t="s">
        <v>29</v>
      </c>
      <c r="Q162" s="52" t="s">
        <v>30</v>
      </c>
      <c r="R162" s="52" t="s">
        <v>32</v>
      </c>
      <c r="S162" s="23" t="s">
        <v>2</v>
      </c>
      <c r="T162" s="23" t="s">
        <v>37</v>
      </c>
      <c r="U162" s="23" t="s">
        <v>21</v>
      </c>
      <c r="V162" s="23" t="s">
        <v>8</v>
      </c>
      <c r="W162" s="23" t="s">
        <v>29</v>
      </c>
      <c r="X162" s="52" t="s">
        <v>30</v>
      </c>
      <c r="Y162" s="52" t="s">
        <v>32</v>
      </c>
      <c r="Z162" s="23" t="s">
        <v>2</v>
      </c>
      <c r="AA162" s="23" t="s">
        <v>37</v>
      </c>
      <c r="AB162" s="23" t="s">
        <v>21</v>
      </c>
      <c r="AC162" s="23" t="s">
        <v>8</v>
      </c>
      <c r="AD162" s="23" t="s">
        <v>29</v>
      </c>
      <c r="AE162" s="52" t="s">
        <v>30</v>
      </c>
      <c r="AF162" s="52" t="s">
        <v>32</v>
      </c>
      <c r="AG162" s="198" t="s">
        <v>183</v>
      </c>
      <c r="AQ162" s="275"/>
    </row>
    <row r="163" spans="2:43" x14ac:dyDescent="0.2">
      <c r="B163" s="558" t="s">
        <v>71</v>
      </c>
      <c r="C163" s="8"/>
      <c r="D163" s="8"/>
      <c r="E163" s="284" t="s">
        <v>184</v>
      </c>
      <c r="F163" s="285"/>
      <c r="G163" s="285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286" t="s">
        <v>180</v>
      </c>
      <c r="W163" s="287"/>
      <c r="X163" s="287"/>
      <c r="Y163" s="8"/>
      <c r="Z163" s="8"/>
      <c r="AA163" s="8"/>
      <c r="AB163" s="282" t="s">
        <v>135</v>
      </c>
      <c r="AC163" s="283"/>
      <c r="AD163" s="445"/>
      <c r="AE163" s="8"/>
      <c r="AF163" s="8"/>
      <c r="AG163" s="197"/>
      <c r="AQ163" s="275"/>
    </row>
    <row r="164" spans="2:43" x14ac:dyDescent="0.2">
      <c r="B164" s="523"/>
      <c r="C164" s="289" t="s">
        <v>185</v>
      </c>
      <c r="D164" s="290"/>
      <c r="E164" s="290"/>
      <c r="F164" s="290"/>
      <c r="G164" s="10"/>
      <c r="H164" s="289" t="s">
        <v>245</v>
      </c>
      <c r="I164" s="290"/>
      <c r="J164" s="290"/>
      <c r="K164" s="290"/>
      <c r="L164" s="10"/>
      <c r="M164" s="291" t="s">
        <v>79</v>
      </c>
      <c r="N164" s="292"/>
      <c r="O164" s="293"/>
      <c r="P164" s="291" t="s">
        <v>74</v>
      </c>
      <c r="Q164" s="292"/>
      <c r="R164" s="293"/>
      <c r="S164" s="10"/>
      <c r="T164" s="291" t="s">
        <v>77</v>
      </c>
      <c r="U164" s="292"/>
      <c r="V164" s="293"/>
      <c r="W164" s="291" t="s">
        <v>36</v>
      </c>
      <c r="X164" s="292"/>
      <c r="Y164" s="293"/>
      <c r="Z164" s="418" t="s">
        <v>45</v>
      </c>
      <c r="AA164" s="419"/>
      <c r="AB164" s="420"/>
      <c r="AC164" s="289" t="s">
        <v>187</v>
      </c>
      <c r="AD164" s="290"/>
      <c r="AE164" s="290"/>
      <c r="AF164" s="290"/>
      <c r="AG164" s="217" t="s">
        <v>254</v>
      </c>
      <c r="AQ164" s="275"/>
    </row>
    <row r="165" spans="2:43" ht="14.25" customHeight="1" x14ac:dyDescent="0.2">
      <c r="B165" s="523"/>
      <c r="C165" s="492" t="s">
        <v>181</v>
      </c>
      <c r="D165" s="493"/>
      <c r="E165" s="10"/>
      <c r="F165" s="345" t="s">
        <v>115</v>
      </c>
      <c r="G165" s="346"/>
      <c r="H165" s="347"/>
      <c r="I165" s="10"/>
      <c r="J165" s="494" t="s">
        <v>87</v>
      </c>
      <c r="K165" s="495"/>
      <c r="L165" s="496"/>
      <c r="M165" s="345" t="s">
        <v>107</v>
      </c>
      <c r="N165" s="346"/>
      <c r="O165" s="347"/>
      <c r="P165" s="345" t="s">
        <v>82</v>
      </c>
      <c r="Q165" s="346"/>
      <c r="R165" s="347"/>
      <c r="S165" s="345" t="s">
        <v>160</v>
      </c>
      <c r="T165" s="346"/>
      <c r="U165" s="347"/>
      <c r="V165" s="345" t="s">
        <v>51</v>
      </c>
      <c r="W165" s="346"/>
      <c r="X165" s="347"/>
      <c r="Y165" s="345" t="s">
        <v>112</v>
      </c>
      <c r="Z165" s="346"/>
      <c r="AA165" s="347"/>
      <c r="AB165" s="345" t="s">
        <v>138</v>
      </c>
      <c r="AC165" s="346"/>
      <c r="AD165" s="347"/>
      <c r="AE165" s="10"/>
      <c r="AF165" s="416" t="s">
        <v>243</v>
      </c>
      <c r="AG165" s="417"/>
    </row>
    <row r="166" spans="2:43" x14ac:dyDescent="0.2">
      <c r="B166" s="523"/>
      <c r="C166" s="26" t="s">
        <v>235</v>
      </c>
      <c r="D166" s="10"/>
      <c r="E166" s="10"/>
      <c r="F166" s="10"/>
      <c r="G166" s="295" t="s">
        <v>200</v>
      </c>
      <c r="H166" s="296"/>
      <c r="I166" s="297"/>
      <c r="J166" s="10"/>
      <c r="K166" s="10"/>
      <c r="L166" s="295" t="s">
        <v>51</v>
      </c>
      <c r="M166" s="296"/>
      <c r="N166" s="297"/>
      <c r="O166" s="10"/>
      <c r="P166" s="10"/>
      <c r="Q166" s="10"/>
      <c r="R166" s="10"/>
      <c r="S166" s="295" t="s">
        <v>191</v>
      </c>
      <c r="T166" s="296"/>
      <c r="U166" s="297"/>
      <c r="V166" s="349" t="s">
        <v>244</v>
      </c>
      <c r="W166" s="350"/>
      <c r="X166" s="351"/>
      <c r="Y166" s="349" t="s">
        <v>224</v>
      </c>
      <c r="Z166" s="350"/>
      <c r="AA166" s="351"/>
      <c r="AB166" s="10"/>
      <c r="AC166" s="10"/>
      <c r="AD166" s="10"/>
      <c r="AE166" s="10"/>
      <c r="AF166" s="10"/>
      <c r="AG166" s="200" t="s">
        <v>247</v>
      </c>
    </row>
    <row r="167" spans="2:43" x14ac:dyDescent="0.2">
      <c r="B167" s="523"/>
      <c r="C167" s="10"/>
      <c r="D167" s="10"/>
      <c r="E167" s="10"/>
      <c r="F167" s="10"/>
      <c r="G167" s="10"/>
      <c r="H167" s="10"/>
      <c r="I167" s="10"/>
      <c r="J167" s="10"/>
      <c r="K167" s="10"/>
      <c r="L167" s="553" t="s">
        <v>196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203"/>
    </row>
    <row r="168" spans="2:43" x14ac:dyDescent="0.2">
      <c r="B168" s="523"/>
      <c r="C168" s="10"/>
      <c r="D168" s="10"/>
      <c r="E168" s="10"/>
      <c r="F168" s="10"/>
      <c r="G168" s="10"/>
      <c r="H168" s="10"/>
      <c r="I168" s="10"/>
      <c r="J168" s="10"/>
      <c r="K168" s="10"/>
      <c r="L168" s="554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203"/>
    </row>
    <row r="169" spans="2:43" x14ac:dyDescent="0.2">
      <c r="B169" s="523"/>
      <c r="C169" s="10"/>
      <c r="D169" s="10"/>
      <c r="E169" s="10"/>
      <c r="F169" s="10"/>
      <c r="G169" s="10"/>
      <c r="H169" s="10"/>
      <c r="I169" s="10"/>
      <c r="J169" s="10"/>
      <c r="K169" s="10"/>
      <c r="L169" s="554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203"/>
    </row>
    <row r="170" spans="2:43" x14ac:dyDescent="0.2">
      <c r="B170" s="523"/>
      <c r="C170" s="379" t="s">
        <v>101</v>
      </c>
      <c r="D170" s="379"/>
      <c r="E170" s="298" t="s">
        <v>36</v>
      </c>
      <c r="F170" s="298"/>
      <c r="G170" s="298"/>
      <c r="H170" s="10"/>
      <c r="I170" s="299" t="s">
        <v>179</v>
      </c>
      <c r="J170" s="299"/>
      <c r="K170" s="299"/>
      <c r="L170" s="554"/>
      <c r="M170" s="357" t="s">
        <v>186</v>
      </c>
      <c r="N170" s="463"/>
      <c r="O170" s="463"/>
      <c r="P170" s="463"/>
      <c r="Q170" s="463"/>
      <c r="R170" s="464"/>
      <c r="S170" s="497" t="s">
        <v>23</v>
      </c>
      <c r="T170" s="497"/>
      <c r="U170" s="497"/>
      <c r="V170" s="10"/>
      <c r="W170" s="10"/>
      <c r="X170" s="356" t="s">
        <v>130</v>
      </c>
      <c r="Y170" s="356"/>
      <c r="Z170" s="356"/>
      <c r="AA170" s="356"/>
      <c r="AB170" s="298" t="s">
        <v>71</v>
      </c>
      <c r="AC170" s="298"/>
      <c r="AD170" s="298"/>
      <c r="AE170" s="10"/>
      <c r="AF170" s="10"/>
      <c r="AG170" s="204" t="s">
        <v>78</v>
      </c>
    </row>
    <row r="171" spans="2:43" x14ac:dyDescent="0.2">
      <c r="B171" s="523"/>
      <c r="C171" s="48" t="s">
        <v>188</v>
      </c>
      <c r="D171" s="10"/>
      <c r="E171" s="10"/>
      <c r="F171" s="355" t="s">
        <v>6</v>
      </c>
      <c r="G171" s="355"/>
      <c r="H171" s="355"/>
      <c r="I171" s="10"/>
      <c r="J171" s="10"/>
      <c r="K171" s="10"/>
      <c r="L171" s="554"/>
      <c r="M171" s="10"/>
      <c r="N171" s="10"/>
      <c r="O171" s="10"/>
      <c r="P171" s="10"/>
      <c r="Q171" s="10"/>
      <c r="R171" s="10"/>
      <c r="S171" s="10"/>
      <c r="T171" s="10"/>
      <c r="U171" s="355" t="s">
        <v>66</v>
      </c>
      <c r="V171" s="355"/>
      <c r="W171" s="355"/>
      <c r="X171" s="10"/>
      <c r="Y171" s="10"/>
      <c r="Z171" s="10"/>
      <c r="AA171" s="10"/>
      <c r="AB171" s="10"/>
      <c r="AC171" s="10"/>
      <c r="AD171" s="355" t="s">
        <v>17</v>
      </c>
      <c r="AE171" s="355"/>
      <c r="AF171" s="355"/>
      <c r="AG171" s="203"/>
    </row>
    <row r="172" spans="2:43" x14ac:dyDescent="0.2">
      <c r="B172" s="524"/>
      <c r="C172" s="28"/>
      <c r="D172" s="28"/>
      <c r="E172" s="28"/>
      <c r="F172" s="28"/>
      <c r="G172" s="28"/>
      <c r="H172" s="318" t="s">
        <v>242</v>
      </c>
      <c r="I172" s="318"/>
      <c r="J172" s="318"/>
      <c r="K172" s="114"/>
      <c r="L172" s="555"/>
      <c r="M172" s="114"/>
      <c r="N172" s="28"/>
      <c r="O172" s="28"/>
      <c r="P172" s="28"/>
      <c r="Q172" s="28"/>
      <c r="R172" s="318" t="s">
        <v>199</v>
      </c>
      <c r="S172" s="318"/>
      <c r="T172" s="318"/>
      <c r="U172" s="28"/>
      <c r="V172" s="318" t="s">
        <v>141</v>
      </c>
      <c r="W172" s="318"/>
      <c r="X172" s="318"/>
      <c r="Y172" s="28"/>
      <c r="Z172" s="28"/>
      <c r="AA172" s="318" t="s">
        <v>211</v>
      </c>
      <c r="AB172" s="318"/>
      <c r="AC172" s="318"/>
      <c r="AD172" s="192"/>
      <c r="AE172" s="318" t="s">
        <v>90</v>
      </c>
      <c r="AF172" s="318"/>
      <c r="AG172" s="319"/>
    </row>
    <row r="173" spans="2:43" ht="13.5" customHeight="1" x14ac:dyDescent="0.2">
      <c r="B173" s="519" t="s">
        <v>105</v>
      </c>
      <c r="C173" s="361" t="s">
        <v>185</v>
      </c>
      <c r="D173" s="362"/>
      <c r="E173" s="362"/>
      <c r="F173" s="362"/>
      <c r="G173" s="92"/>
      <c r="H173" s="361" t="s">
        <v>245</v>
      </c>
      <c r="I173" s="362"/>
      <c r="J173" s="362"/>
      <c r="K173" s="362"/>
      <c r="L173" s="126"/>
      <c r="M173" s="345" t="s">
        <v>107</v>
      </c>
      <c r="N173" s="346"/>
      <c r="O173" s="347"/>
      <c r="P173" s="345" t="s">
        <v>82</v>
      </c>
      <c r="Q173" s="346"/>
      <c r="R173" s="347"/>
      <c r="S173" s="345" t="s">
        <v>160</v>
      </c>
      <c r="T173" s="346"/>
      <c r="U173" s="347"/>
      <c r="V173" s="345" t="s">
        <v>51</v>
      </c>
      <c r="W173" s="346"/>
      <c r="X173" s="347"/>
      <c r="Y173" s="345" t="s">
        <v>112</v>
      </c>
      <c r="Z173" s="346"/>
      <c r="AA173" s="347"/>
      <c r="AB173" s="49" t="s">
        <v>68</v>
      </c>
      <c r="AC173" s="361" t="s">
        <v>187</v>
      </c>
      <c r="AD173" s="362"/>
      <c r="AE173" s="362"/>
      <c r="AF173" s="362"/>
      <c r="AG173" s="253" t="s">
        <v>254</v>
      </c>
    </row>
    <row r="174" spans="2:43" ht="13.5" customHeight="1" x14ac:dyDescent="0.2">
      <c r="B174" s="520"/>
      <c r="C174" s="53"/>
      <c r="D174" s="64"/>
      <c r="E174" s="25"/>
      <c r="F174" s="25"/>
      <c r="G174" s="492" t="s">
        <v>208</v>
      </c>
      <c r="H174" s="493"/>
      <c r="I174" s="25"/>
      <c r="J174" s="53"/>
      <c r="K174" s="115"/>
      <c r="L174" s="84"/>
      <c r="M174" s="89"/>
      <c r="N174" s="106"/>
      <c r="O174" s="115"/>
      <c r="P174" s="115"/>
      <c r="Q174" s="115"/>
      <c r="R174" s="146"/>
      <c r="S174" s="146"/>
      <c r="T174" s="146"/>
      <c r="U174" s="84"/>
      <c r="V174" s="89"/>
      <c r="W174" s="106"/>
      <c r="X174" s="171"/>
      <c r="Y174" s="177"/>
      <c r="Z174" s="84"/>
      <c r="AA174" s="89"/>
      <c r="AB174" s="106"/>
      <c r="AC174" s="177"/>
      <c r="AD174" s="193"/>
      <c r="AE174" s="146"/>
      <c r="AF174" s="131"/>
      <c r="AG174" s="258"/>
    </row>
    <row r="175" spans="2:43" x14ac:dyDescent="0.2">
      <c r="B175" s="521"/>
      <c r="C175" s="48" t="s">
        <v>188</v>
      </c>
      <c r="D175" s="48" t="s">
        <v>203</v>
      </c>
      <c r="E175" s="298" t="s">
        <v>36</v>
      </c>
      <c r="F175" s="298"/>
      <c r="G175" s="298"/>
      <c r="H175" s="96"/>
      <c r="I175" s="299" t="s">
        <v>179</v>
      </c>
      <c r="J175" s="299"/>
      <c r="K175" s="299"/>
      <c r="L175" s="115"/>
      <c r="M175" s="357" t="s">
        <v>186</v>
      </c>
      <c r="N175" s="463"/>
      <c r="O175" s="463"/>
      <c r="P175" s="463"/>
      <c r="Q175" s="463"/>
      <c r="R175" s="464"/>
      <c r="S175" s="429" t="s">
        <v>104</v>
      </c>
      <c r="T175" s="429"/>
      <c r="U175" s="429"/>
      <c r="V175" s="427" t="s">
        <v>66</v>
      </c>
      <c r="W175" s="427"/>
      <c r="X175" s="356" t="s">
        <v>130</v>
      </c>
      <c r="Y175" s="356"/>
      <c r="Z175" s="356"/>
      <c r="AA175" s="356"/>
      <c r="AB175" s="298" t="s">
        <v>102</v>
      </c>
      <c r="AC175" s="298"/>
      <c r="AD175" s="298"/>
      <c r="AE175" s="427" t="s">
        <v>17</v>
      </c>
      <c r="AF175" s="427"/>
      <c r="AG175" s="204" t="s">
        <v>78</v>
      </c>
    </row>
    <row r="176" spans="2:43" ht="13.5" customHeight="1" x14ac:dyDescent="0.2">
      <c r="B176" s="522" t="s">
        <v>103</v>
      </c>
      <c r="C176" s="312" t="s">
        <v>185</v>
      </c>
      <c r="D176" s="312"/>
      <c r="E176" s="312"/>
      <c r="F176" s="312"/>
      <c r="G176" s="15"/>
      <c r="H176" s="312" t="s">
        <v>245</v>
      </c>
      <c r="I176" s="312"/>
      <c r="J176" s="312"/>
      <c r="K176" s="312"/>
      <c r="L176" s="15"/>
      <c r="M176" s="313" t="s">
        <v>107</v>
      </c>
      <c r="N176" s="313"/>
      <c r="O176" s="313"/>
      <c r="P176" s="313" t="s">
        <v>82</v>
      </c>
      <c r="Q176" s="313"/>
      <c r="R176" s="313"/>
      <c r="S176" s="15"/>
      <c r="T176" s="313" t="s">
        <v>77</v>
      </c>
      <c r="U176" s="313"/>
      <c r="V176" s="313"/>
      <c r="W176" s="303" t="s">
        <v>36</v>
      </c>
      <c r="X176" s="304"/>
      <c r="Y176" s="305"/>
      <c r="Z176" s="313" t="s">
        <v>112</v>
      </c>
      <c r="AA176" s="313"/>
      <c r="AB176" s="74" t="s">
        <v>281</v>
      </c>
      <c r="AC176" s="312" t="s">
        <v>187</v>
      </c>
      <c r="AD176" s="312"/>
      <c r="AE176" s="312"/>
      <c r="AF176" s="312"/>
      <c r="AG176" s="259" t="s">
        <v>254</v>
      </c>
    </row>
    <row r="177" spans="2:33" x14ac:dyDescent="0.2">
      <c r="B177" s="523"/>
      <c r="C177" s="433" t="s">
        <v>181</v>
      </c>
      <c r="D177" s="433"/>
      <c r="E177" s="10"/>
      <c r="F177" s="315" t="s">
        <v>115</v>
      </c>
      <c r="G177" s="315"/>
      <c r="H177" s="315"/>
      <c r="I177" s="10"/>
      <c r="J177" s="315" t="s">
        <v>87</v>
      </c>
      <c r="K177" s="315"/>
      <c r="L177" s="315"/>
      <c r="M177" s="315" t="s">
        <v>79</v>
      </c>
      <c r="N177" s="315"/>
      <c r="O177" s="315"/>
      <c r="P177" s="315" t="s">
        <v>74</v>
      </c>
      <c r="Q177" s="315"/>
      <c r="R177" s="315"/>
      <c r="S177" s="315" t="s">
        <v>160</v>
      </c>
      <c r="T177" s="315"/>
      <c r="U177" s="315"/>
      <c r="V177" s="315" t="s">
        <v>51</v>
      </c>
      <c r="W177" s="315"/>
      <c r="X177" s="315"/>
      <c r="Y177" s="83" t="s">
        <v>112</v>
      </c>
      <c r="Z177" s="315" t="s">
        <v>214</v>
      </c>
      <c r="AA177" s="315"/>
      <c r="AB177" s="315"/>
      <c r="AC177" s="432" t="s">
        <v>138</v>
      </c>
      <c r="AD177" s="432"/>
      <c r="AE177" s="10"/>
      <c r="AF177" s="433" t="s">
        <v>243</v>
      </c>
      <c r="AG177" s="434"/>
    </row>
    <row r="178" spans="2:33" x14ac:dyDescent="0.2">
      <c r="B178" s="523"/>
      <c r="C178" s="30" t="s">
        <v>188</v>
      </c>
      <c r="D178" s="30" t="s">
        <v>203</v>
      </c>
      <c r="E178" s="298" t="s">
        <v>36</v>
      </c>
      <c r="F178" s="298"/>
      <c r="G178" s="298"/>
      <c r="H178" s="30" t="s">
        <v>22</v>
      </c>
      <c r="I178" s="299" t="s">
        <v>179</v>
      </c>
      <c r="J178" s="299"/>
      <c r="K178" s="299"/>
      <c r="L178" s="10"/>
      <c r="M178" s="356" t="s">
        <v>186</v>
      </c>
      <c r="N178" s="356"/>
      <c r="O178" s="356"/>
      <c r="P178" s="356"/>
      <c r="Q178" s="356"/>
      <c r="R178" s="356"/>
      <c r="S178" s="429" t="s">
        <v>104</v>
      </c>
      <c r="T178" s="429"/>
      <c r="U178" s="429"/>
      <c r="V178" s="379" t="s">
        <v>280</v>
      </c>
      <c r="W178" s="379"/>
      <c r="X178" s="356" t="s">
        <v>130</v>
      </c>
      <c r="Y178" s="356"/>
      <c r="Z178" s="356"/>
      <c r="AA178" s="356"/>
      <c r="AB178" s="298" t="s">
        <v>102</v>
      </c>
      <c r="AC178" s="298"/>
      <c r="AD178" s="298"/>
      <c r="AE178" s="379" t="s">
        <v>282</v>
      </c>
      <c r="AF178" s="379"/>
      <c r="AG178" s="204" t="s">
        <v>78</v>
      </c>
    </row>
    <row r="179" spans="2:33" x14ac:dyDescent="0.2">
      <c r="B179" s="524"/>
      <c r="C179" s="32" t="s">
        <v>203</v>
      </c>
      <c r="D179" s="28"/>
      <c r="E179" s="28"/>
      <c r="F179" s="389" t="s">
        <v>22</v>
      </c>
      <c r="G179" s="389"/>
      <c r="H179" s="318" t="s">
        <v>242</v>
      </c>
      <c r="I179" s="318"/>
      <c r="J179" s="318"/>
      <c r="K179" s="318" t="s">
        <v>34</v>
      </c>
      <c r="L179" s="318"/>
      <c r="M179" s="318"/>
      <c r="N179" s="28"/>
      <c r="O179" s="28"/>
      <c r="P179" s="28"/>
      <c r="Q179" s="28"/>
      <c r="R179" s="318" t="s">
        <v>199</v>
      </c>
      <c r="S179" s="318"/>
      <c r="T179" s="318"/>
      <c r="U179" s="32" t="s">
        <v>280</v>
      </c>
      <c r="V179" s="318" t="s">
        <v>141</v>
      </c>
      <c r="W179" s="318"/>
      <c r="X179" s="318"/>
      <c r="Y179" s="28"/>
      <c r="Z179" s="28"/>
      <c r="AA179" s="318" t="s">
        <v>211</v>
      </c>
      <c r="AB179" s="318"/>
      <c r="AC179" s="318"/>
      <c r="AD179" s="32" t="s">
        <v>282</v>
      </c>
      <c r="AE179" s="318" t="s">
        <v>90</v>
      </c>
      <c r="AF179" s="318"/>
      <c r="AG179" s="319"/>
    </row>
    <row r="180" spans="2:33" ht="13.5" customHeight="1" x14ac:dyDescent="0.2">
      <c r="B180" s="542" t="s">
        <v>106</v>
      </c>
      <c r="C180" s="301" t="s">
        <v>185</v>
      </c>
      <c r="D180" s="302"/>
      <c r="E180" s="302"/>
      <c r="F180" s="302"/>
      <c r="G180" s="15"/>
      <c r="H180" s="301" t="s">
        <v>245</v>
      </c>
      <c r="I180" s="302"/>
      <c r="J180" s="302"/>
      <c r="K180" s="302"/>
      <c r="L180" s="15"/>
      <c r="M180" s="303" t="s">
        <v>79</v>
      </c>
      <c r="N180" s="304"/>
      <c r="O180" s="305"/>
      <c r="P180" s="303" t="s">
        <v>74</v>
      </c>
      <c r="Q180" s="304"/>
      <c r="R180" s="305"/>
      <c r="S180" s="303" t="s">
        <v>160</v>
      </c>
      <c r="T180" s="304"/>
      <c r="U180" s="305"/>
      <c r="V180" s="303" t="s">
        <v>51</v>
      </c>
      <c r="W180" s="304"/>
      <c r="X180" s="305"/>
      <c r="Y180" s="303" t="s">
        <v>112</v>
      </c>
      <c r="Z180" s="304"/>
      <c r="AA180" s="305"/>
      <c r="AB180" s="184" t="s">
        <v>311</v>
      </c>
      <c r="AC180" s="301" t="s">
        <v>187</v>
      </c>
      <c r="AD180" s="302"/>
      <c r="AE180" s="302"/>
      <c r="AF180" s="302"/>
      <c r="AG180" s="259" t="s">
        <v>254</v>
      </c>
    </row>
    <row r="181" spans="2:33" x14ac:dyDescent="0.2">
      <c r="B181" s="544"/>
      <c r="C181" s="492" t="s">
        <v>181</v>
      </c>
      <c r="D181" s="493"/>
      <c r="E181" s="10"/>
      <c r="F181" s="345" t="s">
        <v>115</v>
      </c>
      <c r="G181" s="346"/>
      <c r="H181" s="347"/>
      <c r="I181" s="105" t="s">
        <v>284</v>
      </c>
      <c r="J181" s="494" t="s">
        <v>87</v>
      </c>
      <c r="K181" s="495"/>
      <c r="L181" s="496"/>
      <c r="M181" s="345" t="s">
        <v>107</v>
      </c>
      <c r="N181" s="346"/>
      <c r="O181" s="347"/>
      <c r="P181" s="345" t="s">
        <v>82</v>
      </c>
      <c r="Q181" s="346"/>
      <c r="R181" s="347"/>
      <c r="S181" s="10"/>
      <c r="T181" s="291" t="s">
        <v>77</v>
      </c>
      <c r="U181" s="292"/>
      <c r="V181" s="293"/>
      <c r="W181" s="291" t="s">
        <v>36</v>
      </c>
      <c r="X181" s="292"/>
      <c r="Y181" s="293"/>
      <c r="Z181" s="498" t="s">
        <v>310</v>
      </c>
      <c r="AA181" s="499"/>
      <c r="AB181" s="345" t="s">
        <v>138</v>
      </c>
      <c r="AC181" s="346"/>
      <c r="AD181" s="347"/>
      <c r="AE181" s="10"/>
      <c r="AF181" s="416" t="s">
        <v>243</v>
      </c>
      <c r="AG181" s="417"/>
    </row>
    <row r="182" spans="2:33" x14ac:dyDescent="0.2">
      <c r="B182" s="544"/>
      <c r="C182" s="379" t="s">
        <v>101</v>
      </c>
      <c r="D182" s="379"/>
      <c r="E182" s="298" t="s">
        <v>36</v>
      </c>
      <c r="F182" s="298"/>
      <c r="G182" s="298"/>
      <c r="H182" s="10"/>
      <c r="I182" s="299" t="s">
        <v>179</v>
      </c>
      <c r="J182" s="299"/>
      <c r="K182" s="299"/>
      <c r="L182" s="10"/>
      <c r="M182" s="357" t="s">
        <v>186</v>
      </c>
      <c r="N182" s="463"/>
      <c r="O182" s="463"/>
      <c r="P182" s="463"/>
      <c r="Q182" s="463"/>
      <c r="R182" s="464"/>
      <c r="S182" s="429" t="s">
        <v>104</v>
      </c>
      <c r="T182" s="429"/>
      <c r="U182" s="429"/>
      <c r="V182" s="379" t="s">
        <v>66</v>
      </c>
      <c r="W182" s="379"/>
      <c r="X182" s="356" t="s">
        <v>130</v>
      </c>
      <c r="Y182" s="356"/>
      <c r="Z182" s="356"/>
      <c r="AA182" s="356"/>
      <c r="AB182" s="298" t="s">
        <v>102</v>
      </c>
      <c r="AC182" s="298"/>
      <c r="AD182" s="298"/>
      <c r="AE182" s="324" t="s">
        <v>17</v>
      </c>
      <c r="AF182" s="325"/>
      <c r="AG182" s="260" t="s">
        <v>312</v>
      </c>
    </row>
    <row r="183" spans="2:33" x14ac:dyDescent="0.2">
      <c r="B183" s="545"/>
      <c r="C183" s="55" t="s">
        <v>188</v>
      </c>
      <c r="D183" s="28"/>
      <c r="E183" s="28"/>
      <c r="F183" s="307" t="s">
        <v>6</v>
      </c>
      <c r="G183" s="307"/>
      <c r="H183" s="307"/>
      <c r="I183" s="500" t="s">
        <v>309</v>
      </c>
      <c r="J183" s="501"/>
      <c r="K183" s="318" t="s">
        <v>34</v>
      </c>
      <c r="L183" s="318"/>
      <c r="M183" s="318"/>
      <c r="N183" s="28"/>
      <c r="O183" s="28"/>
      <c r="P183" s="28"/>
      <c r="Q183" s="28"/>
      <c r="R183" s="318" t="s">
        <v>199</v>
      </c>
      <c r="S183" s="318"/>
      <c r="T183" s="318"/>
      <c r="U183" s="163" t="s">
        <v>280</v>
      </c>
      <c r="V183" s="318" t="s">
        <v>141</v>
      </c>
      <c r="W183" s="318"/>
      <c r="X183" s="318"/>
      <c r="Y183" s="28"/>
      <c r="Z183" s="28"/>
      <c r="AA183" s="318" t="s">
        <v>211</v>
      </c>
      <c r="AB183" s="318"/>
      <c r="AC183" s="318"/>
      <c r="AD183" s="163" t="s">
        <v>282</v>
      </c>
      <c r="AE183" s="318" t="s">
        <v>90</v>
      </c>
      <c r="AF183" s="318"/>
      <c r="AG183" s="319"/>
    </row>
    <row r="184" spans="2:33" x14ac:dyDescent="0.2">
      <c r="B184" s="4"/>
    </row>
    <row r="185" spans="2:33" hidden="1" x14ac:dyDescent="0.2">
      <c r="B185" s="534" t="s">
        <v>47</v>
      </c>
      <c r="C185" s="390" t="s">
        <v>101</v>
      </c>
      <c r="D185" s="390"/>
      <c r="E185" s="33"/>
      <c r="F185" s="33"/>
      <c r="G185" s="40"/>
      <c r="H185" s="33"/>
      <c r="I185" s="33"/>
      <c r="J185" s="33"/>
      <c r="K185" s="40"/>
      <c r="L185" s="33"/>
      <c r="M185" s="33"/>
      <c r="N185" s="40"/>
      <c r="O185" s="33"/>
      <c r="P185" s="33"/>
      <c r="Q185" s="33"/>
      <c r="R185" s="40"/>
      <c r="S185" s="33"/>
      <c r="T185" s="33"/>
      <c r="U185" s="40"/>
      <c r="V185" s="33"/>
      <c r="W185" s="33"/>
      <c r="X185" s="33"/>
      <c r="Y185" s="40"/>
      <c r="Z185" s="33"/>
      <c r="AA185" s="33"/>
      <c r="AB185" s="40"/>
      <c r="AC185" s="33"/>
      <c r="AD185" s="33"/>
      <c r="AE185" s="40"/>
      <c r="AF185" s="33"/>
      <c r="AG185" s="247"/>
    </row>
    <row r="186" spans="2:33" hidden="1" x14ac:dyDescent="0.2">
      <c r="B186" s="535"/>
      <c r="C186" s="35"/>
      <c r="D186" s="17"/>
      <c r="E186" s="35"/>
      <c r="F186" s="17"/>
      <c r="G186" s="35"/>
      <c r="H186" s="327" t="s">
        <v>242</v>
      </c>
      <c r="I186" s="327"/>
      <c r="J186" s="327"/>
      <c r="K186" s="17"/>
      <c r="L186" s="35"/>
      <c r="M186" s="17"/>
      <c r="N186" s="35"/>
      <c r="O186" s="17"/>
      <c r="P186" s="35"/>
      <c r="Q186" s="17"/>
      <c r="R186" s="35"/>
      <c r="S186" s="17"/>
      <c r="T186" s="35"/>
      <c r="U186" s="35"/>
      <c r="V186" s="17"/>
      <c r="W186" s="35"/>
      <c r="X186" s="17"/>
      <c r="Y186" s="35"/>
      <c r="Z186" s="17"/>
      <c r="AA186" s="35"/>
      <c r="AB186" s="17"/>
      <c r="AC186" s="35"/>
      <c r="AD186" s="17"/>
      <c r="AE186" s="35"/>
      <c r="AF186" s="17"/>
      <c r="AG186" s="221"/>
    </row>
    <row r="187" spans="2:33" hidden="1" x14ac:dyDescent="0.2">
      <c r="B187" s="538" t="s">
        <v>41</v>
      </c>
      <c r="C187" s="48" t="s">
        <v>188</v>
      </c>
      <c r="D187" s="40"/>
      <c r="E187" s="326" t="s">
        <v>36</v>
      </c>
      <c r="F187" s="326"/>
      <c r="G187" s="326"/>
      <c r="H187" s="33"/>
      <c r="I187" s="33"/>
      <c r="J187" s="330" t="s">
        <v>87</v>
      </c>
      <c r="K187" s="331"/>
      <c r="L187" s="332"/>
      <c r="M187" s="330" t="s">
        <v>79</v>
      </c>
      <c r="N187" s="331"/>
      <c r="O187" s="332"/>
      <c r="P187" s="330" t="s">
        <v>74</v>
      </c>
      <c r="Q187" s="331"/>
      <c r="R187" s="332"/>
      <c r="S187" s="33"/>
      <c r="T187" s="33"/>
      <c r="U187" s="40"/>
      <c r="V187" s="33"/>
      <c r="W187" s="330" t="s">
        <v>36</v>
      </c>
      <c r="X187" s="331"/>
      <c r="Y187" s="332"/>
      <c r="Z187" s="33"/>
      <c r="AA187" s="33"/>
      <c r="AB187" s="40"/>
      <c r="AC187" s="289" t="s">
        <v>187</v>
      </c>
      <c r="AD187" s="290"/>
      <c r="AE187" s="290"/>
      <c r="AF187" s="290"/>
      <c r="AG187" s="206" t="s">
        <v>78</v>
      </c>
    </row>
    <row r="188" spans="2:33" hidden="1" x14ac:dyDescent="0.2">
      <c r="B188" s="540"/>
      <c r="C188" s="35"/>
      <c r="D188" s="17"/>
      <c r="E188" s="35"/>
      <c r="F188" s="17"/>
      <c r="G188" s="35"/>
      <c r="H188" s="35"/>
      <c r="I188" s="17"/>
      <c r="J188" s="35"/>
      <c r="K188" s="327" t="s">
        <v>34</v>
      </c>
      <c r="L188" s="327"/>
      <c r="M188" s="327"/>
      <c r="N188" s="35"/>
      <c r="O188" s="17"/>
      <c r="P188" s="35"/>
      <c r="Q188" s="17"/>
      <c r="R188" s="35"/>
      <c r="S188" s="333" t="s">
        <v>191</v>
      </c>
      <c r="T188" s="334"/>
      <c r="U188" s="335"/>
      <c r="V188" s="17"/>
      <c r="W188" s="35"/>
      <c r="X188" s="17"/>
      <c r="Y188" s="35"/>
      <c r="Z188" s="17"/>
      <c r="AA188" s="35"/>
      <c r="AB188" s="17"/>
      <c r="AC188" s="35"/>
      <c r="AD188" s="17"/>
      <c r="AE188" s="35"/>
      <c r="AF188" s="17"/>
      <c r="AG188" s="211" t="s">
        <v>247</v>
      </c>
    </row>
    <row r="189" spans="2:33" hidden="1" x14ac:dyDescent="0.2">
      <c r="B189" s="538" t="s">
        <v>28</v>
      </c>
      <c r="C189" s="289" t="s">
        <v>185</v>
      </c>
      <c r="D189" s="290"/>
      <c r="E189" s="290"/>
      <c r="F189" s="290"/>
      <c r="G189" s="43"/>
      <c r="H189" s="33"/>
      <c r="I189" s="33"/>
      <c r="J189" s="33"/>
      <c r="K189" s="40"/>
      <c r="L189" s="33"/>
      <c r="M189" s="33"/>
      <c r="N189" s="40"/>
      <c r="O189" s="33"/>
      <c r="P189" s="33"/>
      <c r="Q189" s="33"/>
      <c r="R189" s="40"/>
      <c r="S189" s="33"/>
      <c r="T189" s="33"/>
      <c r="U189" s="326" t="s">
        <v>66</v>
      </c>
      <c r="V189" s="326"/>
      <c r="W189" s="326"/>
      <c r="X189" s="356" t="s">
        <v>130</v>
      </c>
      <c r="Y189" s="356"/>
      <c r="Z189" s="356"/>
      <c r="AA189" s="356"/>
      <c r="AB189" s="40"/>
      <c r="AC189" s="33"/>
      <c r="AD189" s="33"/>
      <c r="AE189" s="40"/>
      <c r="AF189" s="441" t="s">
        <v>243</v>
      </c>
      <c r="AG189" s="442"/>
    </row>
    <row r="190" spans="2:33" hidden="1" x14ac:dyDescent="0.2">
      <c r="B190" s="540"/>
      <c r="C190" s="35"/>
      <c r="D190" s="17"/>
      <c r="E190" s="35"/>
      <c r="F190" s="17"/>
      <c r="G190" s="35"/>
      <c r="H190" s="17"/>
      <c r="I190" s="35"/>
      <c r="J190" s="35"/>
      <c r="K190" s="17"/>
      <c r="L190" s="35"/>
      <c r="M190" s="17"/>
      <c r="N190" s="35"/>
      <c r="O190" s="17"/>
      <c r="P190" s="35"/>
      <c r="Q190" s="17"/>
      <c r="R190" s="327" t="s">
        <v>199</v>
      </c>
      <c r="S190" s="327"/>
      <c r="T190" s="327"/>
      <c r="U190" s="35"/>
      <c r="V190" s="17"/>
      <c r="W190" s="35"/>
      <c r="X190" s="17"/>
      <c r="Y190" s="35"/>
      <c r="Z190" s="17"/>
      <c r="AA190" s="35"/>
      <c r="AB190" s="17"/>
      <c r="AC190" s="35"/>
      <c r="AD190" s="17"/>
      <c r="AE190" s="35"/>
      <c r="AF190" s="17"/>
      <c r="AG190" s="221"/>
    </row>
    <row r="191" spans="2:33" hidden="1" x14ac:dyDescent="0.2">
      <c r="B191" s="538" t="s">
        <v>50</v>
      </c>
      <c r="C191" s="33"/>
      <c r="D191" s="40"/>
      <c r="E191" s="33"/>
      <c r="F191" s="326" t="s">
        <v>6</v>
      </c>
      <c r="G191" s="326"/>
      <c r="H191" s="326"/>
      <c r="I191" s="33"/>
      <c r="J191" s="33"/>
      <c r="K191" s="40"/>
      <c r="L191" s="33"/>
      <c r="M191" s="33"/>
      <c r="N191" s="40"/>
      <c r="O191" s="33"/>
      <c r="P191" s="33"/>
      <c r="Q191" s="33"/>
      <c r="R191" s="40"/>
      <c r="S191" s="502" t="s">
        <v>23</v>
      </c>
      <c r="T191" s="502"/>
      <c r="U191" s="502"/>
      <c r="V191" s="330" t="s">
        <v>51</v>
      </c>
      <c r="W191" s="331"/>
      <c r="X191" s="332"/>
      <c r="Y191" s="40"/>
      <c r="Z191" s="438" t="s">
        <v>45</v>
      </c>
      <c r="AA191" s="439"/>
      <c r="AB191" s="440"/>
      <c r="AC191" s="33"/>
      <c r="AD191" s="33"/>
      <c r="AE191" s="40"/>
      <c r="AF191" s="33"/>
      <c r="AG191" s="247"/>
    </row>
    <row r="192" spans="2:33" hidden="1" x14ac:dyDescent="0.2">
      <c r="B192" s="540"/>
      <c r="C192" s="34" t="s">
        <v>235</v>
      </c>
      <c r="D192" s="17"/>
      <c r="E192" s="35"/>
      <c r="F192" s="17"/>
      <c r="G192" s="333" t="s">
        <v>200</v>
      </c>
      <c r="H192" s="334"/>
      <c r="I192" s="335"/>
      <c r="J192" s="35"/>
      <c r="K192" s="17"/>
      <c r="L192" s="333" t="s">
        <v>51</v>
      </c>
      <c r="M192" s="334"/>
      <c r="N192" s="335"/>
      <c r="O192" s="17"/>
      <c r="P192" s="35"/>
      <c r="Q192" s="17"/>
      <c r="R192" s="35"/>
      <c r="S192" s="17"/>
      <c r="T192" s="35"/>
      <c r="U192" s="35"/>
      <c r="V192" s="17"/>
      <c r="W192" s="35"/>
      <c r="X192" s="17"/>
      <c r="Y192" s="35"/>
      <c r="Z192" s="17"/>
      <c r="AA192" s="327" t="s">
        <v>211</v>
      </c>
      <c r="AB192" s="327"/>
      <c r="AC192" s="327"/>
      <c r="AD192" s="17"/>
      <c r="AE192" s="327" t="s">
        <v>90</v>
      </c>
      <c r="AF192" s="327"/>
      <c r="AG192" s="336"/>
    </row>
    <row r="193" spans="2:33" hidden="1" x14ac:dyDescent="0.2">
      <c r="B193" s="538" t="s">
        <v>57</v>
      </c>
      <c r="C193" s="33"/>
      <c r="D193" s="40"/>
      <c r="E193" s="33"/>
      <c r="F193" s="33"/>
      <c r="G193" s="40"/>
      <c r="H193" s="289" t="s">
        <v>245</v>
      </c>
      <c r="I193" s="290"/>
      <c r="J193" s="290"/>
      <c r="K193" s="290"/>
      <c r="L193" s="33"/>
      <c r="M193" s="33"/>
      <c r="N193" s="40"/>
      <c r="O193" s="33"/>
      <c r="P193" s="330" t="s">
        <v>82</v>
      </c>
      <c r="Q193" s="331"/>
      <c r="R193" s="332"/>
      <c r="S193" s="330" t="s">
        <v>160</v>
      </c>
      <c r="T193" s="331"/>
      <c r="U193" s="332"/>
      <c r="V193" s="33"/>
      <c r="W193" s="33"/>
      <c r="X193" s="33"/>
      <c r="Y193" s="40"/>
      <c r="Z193" s="33"/>
      <c r="AA193" s="33"/>
      <c r="AB193" s="330" t="s">
        <v>138</v>
      </c>
      <c r="AC193" s="331"/>
      <c r="AD193" s="332"/>
      <c r="AE193" s="40"/>
      <c r="AF193" s="33"/>
      <c r="AG193" s="247"/>
    </row>
    <row r="194" spans="2:33" hidden="1" x14ac:dyDescent="0.2">
      <c r="B194" s="540"/>
      <c r="C194" s="35"/>
      <c r="D194" s="17"/>
      <c r="E194" s="35"/>
      <c r="F194" s="17"/>
      <c r="G194" s="35"/>
      <c r="H194" s="17"/>
      <c r="I194" s="35"/>
      <c r="J194" s="35"/>
      <c r="K194" s="17"/>
      <c r="L194" s="35"/>
      <c r="M194" s="17"/>
      <c r="N194" s="35"/>
      <c r="O194" s="17"/>
      <c r="P194" s="35"/>
      <c r="Q194" s="17"/>
      <c r="R194" s="35"/>
      <c r="S194" s="17"/>
      <c r="T194" s="35"/>
      <c r="U194" s="35"/>
      <c r="V194" s="407" t="s">
        <v>244</v>
      </c>
      <c r="W194" s="408"/>
      <c r="X194" s="409"/>
      <c r="Y194" s="407" t="s">
        <v>224</v>
      </c>
      <c r="Z194" s="408"/>
      <c r="AA194" s="409"/>
      <c r="AB194" s="17"/>
      <c r="AC194" s="35"/>
      <c r="AD194" s="17"/>
      <c r="AE194" s="35"/>
      <c r="AF194" s="17"/>
      <c r="AG194" s="221"/>
    </row>
    <row r="195" spans="2:33" hidden="1" x14ac:dyDescent="0.2">
      <c r="B195" s="538" t="s">
        <v>25</v>
      </c>
      <c r="C195" s="33"/>
      <c r="D195" s="40"/>
      <c r="E195" s="33"/>
      <c r="F195" s="330" t="s">
        <v>115</v>
      </c>
      <c r="G195" s="331"/>
      <c r="H195" s="332"/>
      <c r="I195" s="33"/>
      <c r="J195" s="33"/>
      <c r="K195" s="40"/>
      <c r="L195" s="33"/>
      <c r="M195" s="357" t="s">
        <v>186</v>
      </c>
      <c r="N195" s="463"/>
      <c r="O195" s="463"/>
      <c r="P195" s="463"/>
      <c r="Q195" s="463"/>
      <c r="R195" s="464"/>
      <c r="S195" s="33"/>
      <c r="T195" s="330" t="s">
        <v>77</v>
      </c>
      <c r="U195" s="331"/>
      <c r="V195" s="332"/>
      <c r="W195" s="33"/>
      <c r="X195" s="33"/>
      <c r="Y195" s="330" t="s">
        <v>112</v>
      </c>
      <c r="Z195" s="331"/>
      <c r="AA195" s="332"/>
      <c r="AB195" s="326" t="s">
        <v>71</v>
      </c>
      <c r="AC195" s="326"/>
      <c r="AD195" s="326"/>
      <c r="AE195" s="40"/>
      <c r="AF195" s="33"/>
      <c r="AG195" s="257" t="s">
        <v>254</v>
      </c>
    </row>
    <row r="196" spans="2:33" hidden="1" x14ac:dyDescent="0.2">
      <c r="B196" s="540"/>
      <c r="C196" s="35"/>
      <c r="D196" s="17"/>
      <c r="E196" s="35"/>
      <c r="F196" s="17"/>
      <c r="G196" s="35"/>
      <c r="H196" s="17"/>
      <c r="I196" s="35"/>
      <c r="J196" s="35"/>
      <c r="K196" s="17"/>
      <c r="L196" s="35"/>
      <c r="M196" s="17"/>
      <c r="N196" s="35"/>
      <c r="O196" s="17"/>
      <c r="P196" s="35"/>
      <c r="Q196" s="17"/>
      <c r="R196" s="35"/>
      <c r="S196" s="17"/>
      <c r="T196" s="35"/>
      <c r="U196" s="35"/>
      <c r="V196" s="327" t="s">
        <v>141</v>
      </c>
      <c r="W196" s="327"/>
      <c r="X196" s="327"/>
      <c r="Y196" s="35"/>
      <c r="Z196" s="17"/>
      <c r="AA196" s="35"/>
      <c r="AB196" s="17"/>
      <c r="AC196" s="35"/>
      <c r="AD196" s="17"/>
      <c r="AE196" s="35"/>
      <c r="AF196" s="17"/>
      <c r="AG196" s="221"/>
    </row>
    <row r="197" spans="2:33" hidden="1" x14ac:dyDescent="0.2">
      <c r="B197" s="538" t="s">
        <v>11</v>
      </c>
      <c r="C197" s="441" t="s">
        <v>181</v>
      </c>
      <c r="D197" s="503"/>
      <c r="E197" s="33"/>
      <c r="F197" s="33"/>
      <c r="G197" s="40"/>
      <c r="H197" s="33"/>
      <c r="I197" s="299" t="s">
        <v>179</v>
      </c>
      <c r="J197" s="299"/>
      <c r="K197" s="299"/>
      <c r="L197" s="33"/>
      <c r="M197" s="330" t="s">
        <v>107</v>
      </c>
      <c r="N197" s="331"/>
      <c r="O197" s="332"/>
      <c r="P197" s="33"/>
      <c r="Q197" s="33"/>
      <c r="R197" s="40"/>
      <c r="S197" s="33"/>
      <c r="T197" s="33"/>
      <c r="U197" s="40"/>
      <c r="V197" s="33"/>
      <c r="W197" s="33"/>
      <c r="X197" s="33"/>
      <c r="Y197" s="40"/>
      <c r="Z197" s="33"/>
      <c r="AA197" s="33"/>
      <c r="AB197" s="40"/>
      <c r="AC197" s="33"/>
      <c r="AD197" s="326" t="s">
        <v>17</v>
      </c>
      <c r="AE197" s="326"/>
      <c r="AF197" s="326"/>
      <c r="AG197" s="247"/>
    </row>
    <row r="198" spans="2:33" hidden="1" x14ac:dyDescent="0.2">
      <c r="B198" s="537"/>
      <c r="C198" s="35"/>
      <c r="D198" s="17"/>
      <c r="E198" s="35"/>
      <c r="F198" s="17"/>
      <c r="G198" s="35"/>
      <c r="H198" s="17"/>
      <c r="I198" s="35"/>
      <c r="J198" s="35"/>
      <c r="K198" s="17"/>
      <c r="L198" s="35"/>
      <c r="M198" s="17"/>
      <c r="N198" s="35"/>
      <c r="O198" s="17"/>
      <c r="P198" s="35"/>
      <c r="Q198" s="17"/>
      <c r="R198" s="35"/>
      <c r="S198" s="17"/>
      <c r="T198" s="35"/>
      <c r="U198" s="35"/>
      <c r="V198" s="17"/>
      <c r="W198" s="35"/>
      <c r="X198" s="17"/>
      <c r="Y198" s="35"/>
      <c r="Z198" s="17"/>
      <c r="AA198" s="35"/>
      <c r="AB198" s="17"/>
      <c r="AC198" s="35"/>
      <c r="AD198" s="17"/>
      <c r="AE198" s="35"/>
      <c r="AF198" s="17"/>
      <c r="AG198" s="221"/>
    </row>
    <row r="199" spans="2:33" x14ac:dyDescent="0.2">
      <c r="B199" s="7"/>
    </row>
    <row r="200" spans="2:33" x14ac:dyDescent="0.2">
      <c r="B200" s="515" t="s">
        <v>131</v>
      </c>
      <c r="C200" s="8">
        <v>1</v>
      </c>
      <c r="D200" s="8">
        <v>2</v>
      </c>
      <c r="E200" s="8">
        <v>3</v>
      </c>
      <c r="F200" s="45">
        <v>4</v>
      </c>
      <c r="G200" s="45">
        <v>5</v>
      </c>
      <c r="H200" s="45">
        <v>6</v>
      </c>
      <c r="I200" s="45">
        <v>7</v>
      </c>
      <c r="J200" s="45">
        <v>8</v>
      </c>
      <c r="K200" s="8">
        <v>9</v>
      </c>
      <c r="L200" s="8">
        <v>10</v>
      </c>
      <c r="M200" s="8">
        <v>11</v>
      </c>
      <c r="N200" s="8">
        <v>12</v>
      </c>
      <c r="O200" s="8">
        <v>13</v>
      </c>
      <c r="P200" s="8">
        <v>14</v>
      </c>
      <c r="Q200" s="8">
        <v>15</v>
      </c>
      <c r="R200" s="8">
        <v>16</v>
      </c>
      <c r="S200" s="8">
        <v>17</v>
      </c>
      <c r="T200" s="8">
        <v>18</v>
      </c>
      <c r="U200" s="8">
        <v>19</v>
      </c>
      <c r="V200" s="8">
        <v>20</v>
      </c>
      <c r="W200" s="8">
        <v>21</v>
      </c>
      <c r="X200" s="8">
        <v>22</v>
      </c>
      <c r="Y200" s="8">
        <v>23</v>
      </c>
      <c r="Z200" s="45">
        <v>24</v>
      </c>
      <c r="AA200" s="45">
        <v>25</v>
      </c>
      <c r="AB200" s="45">
        <v>26</v>
      </c>
      <c r="AC200" s="45">
        <v>27</v>
      </c>
      <c r="AD200" s="45">
        <v>28</v>
      </c>
      <c r="AE200" s="8">
        <v>29</v>
      </c>
      <c r="AF200" s="197">
        <v>30</v>
      </c>
    </row>
    <row r="201" spans="2:33" x14ac:dyDescent="0.2">
      <c r="B201" s="516"/>
      <c r="C201" s="23" t="s">
        <v>37</v>
      </c>
      <c r="D201" s="23" t="s">
        <v>21</v>
      </c>
      <c r="E201" s="23" t="s">
        <v>8</v>
      </c>
      <c r="F201" s="23" t="s">
        <v>29</v>
      </c>
      <c r="G201" s="52" t="s">
        <v>30</v>
      </c>
      <c r="H201" s="52" t="s">
        <v>32</v>
      </c>
      <c r="I201" s="23" t="s">
        <v>2</v>
      </c>
      <c r="J201" s="23" t="s">
        <v>37</v>
      </c>
      <c r="K201" s="23" t="s">
        <v>21</v>
      </c>
      <c r="L201" s="23" t="s">
        <v>8</v>
      </c>
      <c r="M201" s="23" t="s">
        <v>29</v>
      </c>
      <c r="N201" s="52" t="s">
        <v>30</v>
      </c>
      <c r="O201" s="52" t="s">
        <v>32</v>
      </c>
      <c r="P201" s="23" t="s">
        <v>2</v>
      </c>
      <c r="Q201" s="23" t="s">
        <v>37</v>
      </c>
      <c r="R201" s="23" t="s">
        <v>21</v>
      </c>
      <c r="S201" s="23" t="s">
        <v>8</v>
      </c>
      <c r="T201" s="23" t="s">
        <v>29</v>
      </c>
      <c r="U201" s="52" t="s">
        <v>30</v>
      </c>
      <c r="V201" s="52" t="s">
        <v>32</v>
      </c>
      <c r="W201" s="52" t="s">
        <v>2</v>
      </c>
      <c r="X201" s="52" t="s">
        <v>37</v>
      </c>
      <c r="Y201" s="52" t="s">
        <v>21</v>
      </c>
      <c r="Z201" s="23" t="s">
        <v>8</v>
      </c>
      <c r="AA201" s="23" t="s">
        <v>29</v>
      </c>
      <c r="AB201" s="52" t="s">
        <v>30</v>
      </c>
      <c r="AC201" s="52" t="s">
        <v>32</v>
      </c>
      <c r="AD201" s="23" t="s">
        <v>2</v>
      </c>
      <c r="AE201" s="23" t="s">
        <v>169</v>
      </c>
      <c r="AF201" s="225" t="s">
        <v>152</v>
      </c>
    </row>
    <row r="202" spans="2:33" ht="13.5" customHeight="1" x14ac:dyDescent="0.2">
      <c r="B202" s="558" t="s">
        <v>71</v>
      </c>
      <c r="C202" s="15"/>
      <c r="D202" s="284" t="s">
        <v>190</v>
      </c>
      <c r="E202" s="285"/>
      <c r="F202" s="285"/>
      <c r="G202" s="15"/>
      <c r="H202" s="15" t="s">
        <v>118</v>
      </c>
      <c r="I202" s="15"/>
      <c r="J202" s="284" t="s">
        <v>250</v>
      </c>
      <c r="K202" s="285"/>
      <c r="L202" s="28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284" t="s">
        <v>40</v>
      </c>
      <c r="AD202" s="285"/>
      <c r="AE202" s="285"/>
      <c r="AF202" s="226"/>
      <c r="AG202" s="56"/>
    </row>
    <row r="203" spans="2:33" ht="14.25" customHeight="1" x14ac:dyDescent="0.2">
      <c r="B203" s="523"/>
      <c r="C203" s="416" t="s">
        <v>253</v>
      </c>
      <c r="D203" s="504"/>
      <c r="E203" s="289" t="s">
        <v>133</v>
      </c>
      <c r="F203" s="290"/>
      <c r="G203" s="290"/>
      <c r="H203" s="290"/>
      <c r="I203" s="291" t="s">
        <v>26</v>
      </c>
      <c r="J203" s="292"/>
      <c r="K203" s="293"/>
      <c r="L203" s="289" t="s">
        <v>63</v>
      </c>
      <c r="M203" s="290"/>
      <c r="N203" s="290"/>
      <c r="O203" s="338"/>
      <c r="P203" s="138"/>
      <c r="Q203" s="140"/>
      <c r="R203" s="140"/>
      <c r="S203" s="10"/>
      <c r="T203" s="289" t="s">
        <v>92</v>
      </c>
      <c r="U203" s="290"/>
      <c r="V203" s="290"/>
      <c r="W203" s="338"/>
      <c r="X203" s="291" t="s">
        <v>87</v>
      </c>
      <c r="Y203" s="292"/>
      <c r="Z203" s="293"/>
      <c r="AA203" s="10"/>
      <c r="AB203" s="10"/>
      <c r="AC203" s="10"/>
      <c r="AD203" s="291" t="s">
        <v>251</v>
      </c>
      <c r="AE203" s="292"/>
      <c r="AF203" s="294"/>
      <c r="AG203" s="234"/>
    </row>
    <row r="204" spans="2:33" ht="13.5" customHeight="1" x14ac:dyDescent="0.2">
      <c r="B204" s="523"/>
      <c r="C204" s="47" t="s">
        <v>146</v>
      </c>
      <c r="D204" s="10"/>
      <c r="E204" s="345" t="s">
        <v>87</v>
      </c>
      <c r="F204" s="346"/>
      <c r="G204" s="347"/>
      <c r="H204" s="93"/>
      <c r="I204" s="93"/>
      <c r="J204" s="10"/>
      <c r="K204" s="345" t="s">
        <v>77</v>
      </c>
      <c r="L204" s="346"/>
      <c r="M204" s="347"/>
      <c r="N204" s="93"/>
      <c r="O204" s="345" t="s">
        <v>86</v>
      </c>
      <c r="P204" s="346"/>
      <c r="Q204" s="347"/>
      <c r="R204" s="10"/>
      <c r="S204" s="10"/>
      <c r="T204" s="10"/>
      <c r="U204" s="345" t="s">
        <v>79</v>
      </c>
      <c r="V204" s="346"/>
      <c r="W204" s="347"/>
      <c r="X204" s="10"/>
      <c r="Y204" s="345" t="s">
        <v>195</v>
      </c>
      <c r="Z204" s="346"/>
      <c r="AA204" s="347"/>
      <c r="AB204" s="452" t="s">
        <v>261</v>
      </c>
      <c r="AC204" s="453"/>
      <c r="AD204" s="454"/>
      <c r="AE204" s="93"/>
      <c r="AF204" s="227"/>
      <c r="AG204" s="234"/>
    </row>
    <row r="205" spans="2:33" ht="13.15" customHeight="1" x14ac:dyDescent="0.2">
      <c r="B205" s="523"/>
      <c r="C205" s="348" t="s">
        <v>246</v>
      </c>
      <c r="D205" s="348"/>
      <c r="E205" s="10"/>
      <c r="F205" s="10"/>
      <c r="G205" s="93"/>
      <c r="H205" s="10"/>
      <c r="I205" s="295" t="s">
        <v>220</v>
      </c>
      <c r="J205" s="296"/>
      <c r="K205" s="297"/>
      <c r="L205" s="295" t="s">
        <v>171</v>
      </c>
      <c r="M205" s="296"/>
      <c r="N205" s="297"/>
      <c r="O205" s="10"/>
      <c r="P205" s="10"/>
      <c r="Q205" s="291" t="s">
        <v>112</v>
      </c>
      <c r="R205" s="292"/>
      <c r="S205" s="293"/>
      <c r="T205" s="10"/>
      <c r="U205" s="10"/>
      <c r="V205" s="93"/>
      <c r="W205" s="93"/>
      <c r="X205" s="93"/>
      <c r="Y205" s="10"/>
      <c r="Z205" s="10"/>
      <c r="AA205" s="10"/>
      <c r="AB205" s="93"/>
      <c r="AC205" s="291" t="s">
        <v>16</v>
      </c>
      <c r="AD205" s="292"/>
      <c r="AE205" s="293"/>
      <c r="AF205" s="550" t="s">
        <v>196</v>
      </c>
      <c r="AG205" s="234"/>
    </row>
    <row r="206" spans="2:33" x14ac:dyDescent="0.2">
      <c r="B206" s="523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93"/>
      <c r="P206" s="316" t="s">
        <v>215</v>
      </c>
      <c r="Q206" s="387"/>
      <c r="R206" s="317"/>
      <c r="S206" s="93"/>
      <c r="T206" s="93"/>
      <c r="U206" s="93"/>
      <c r="V206" s="93"/>
      <c r="W206" s="93"/>
      <c r="X206" s="316" t="s">
        <v>26</v>
      </c>
      <c r="Y206" s="387"/>
      <c r="Z206" s="317"/>
      <c r="AA206" s="93"/>
      <c r="AB206" s="93"/>
      <c r="AC206" s="93"/>
      <c r="AD206" s="93"/>
      <c r="AE206" s="93"/>
      <c r="AF206" s="551"/>
      <c r="AG206" s="234"/>
    </row>
    <row r="207" spans="2:33" x14ac:dyDescent="0.2">
      <c r="B207" s="523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93"/>
      <c r="P207" s="93"/>
      <c r="Q207" s="93"/>
      <c r="R207" s="295" t="s">
        <v>191</v>
      </c>
      <c r="S207" s="296"/>
      <c r="T207" s="297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551"/>
      <c r="AG207" s="234"/>
    </row>
    <row r="208" spans="2:33" x14ac:dyDescent="0.2">
      <c r="B208" s="523"/>
      <c r="C208" s="427" t="s">
        <v>193</v>
      </c>
      <c r="D208" s="427"/>
      <c r="E208" s="355" t="s">
        <v>16</v>
      </c>
      <c r="F208" s="355"/>
      <c r="G208" s="355"/>
      <c r="H208" s="10"/>
      <c r="I208" s="10"/>
      <c r="J208" s="10"/>
      <c r="K208" s="355" t="s">
        <v>90</v>
      </c>
      <c r="L208" s="355"/>
      <c r="M208" s="355"/>
      <c r="N208" s="355" t="s">
        <v>27</v>
      </c>
      <c r="O208" s="355"/>
      <c r="P208" s="355"/>
      <c r="Q208" s="10"/>
      <c r="R208" s="10"/>
      <c r="S208" s="93"/>
      <c r="T208" s="355" t="s">
        <v>210</v>
      </c>
      <c r="U208" s="355"/>
      <c r="V208" s="355"/>
      <c r="W208" s="355" t="s">
        <v>38</v>
      </c>
      <c r="X208" s="355"/>
      <c r="Y208" s="355"/>
      <c r="Z208" s="93"/>
      <c r="AA208" s="93"/>
      <c r="AB208" s="356" t="s">
        <v>192</v>
      </c>
      <c r="AC208" s="356"/>
      <c r="AD208" s="356"/>
      <c r="AE208" s="356"/>
      <c r="AF208" s="551"/>
      <c r="AG208" s="234"/>
    </row>
    <row r="209" spans="2:33" x14ac:dyDescent="0.2">
      <c r="B209" s="523"/>
      <c r="C209" s="10"/>
      <c r="D209" s="10"/>
      <c r="E209" s="10"/>
      <c r="F209" s="298" t="s">
        <v>200</v>
      </c>
      <c r="G209" s="298"/>
      <c r="H209" s="298"/>
      <c r="I209" s="298" t="s">
        <v>101</v>
      </c>
      <c r="J209" s="298"/>
      <c r="K209" s="298"/>
      <c r="L209" s="10"/>
      <c r="M209" s="10"/>
      <c r="N209" s="10"/>
      <c r="O209" s="298" t="s">
        <v>234</v>
      </c>
      <c r="P209" s="298"/>
      <c r="Q209" s="298"/>
      <c r="R209" s="298" t="s">
        <v>44</v>
      </c>
      <c r="S209" s="298"/>
      <c r="T209" s="298"/>
      <c r="U209" s="93"/>
      <c r="V209" s="93"/>
      <c r="W209" s="10"/>
      <c r="X209" s="10"/>
      <c r="Y209" s="298" t="s">
        <v>199</v>
      </c>
      <c r="Z209" s="298"/>
      <c r="AA209" s="298"/>
      <c r="AB209" s="10"/>
      <c r="AC209" s="93"/>
      <c r="AD209" s="93"/>
      <c r="AE209" s="93"/>
      <c r="AF209" s="551"/>
      <c r="AG209" s="234"/>
    </row>
    <row r="210" spans="2:33" x14ac:dyDescent="0.2">
      <c r="B210" s="524"/>
      <c r="C210" s="318" t="s">
        <v>225</v>
      </c>
      <c r="D210" s="318"/>
      <c r="E210" s="318"/>
      <c r="F210" s="85"/>
      <c r="G210" s="28"/>
      <c r="H210" s="318" t="s">
        <v>228</v>
      </c>
      <c r="I210" s="318"/>
      <c r="J210" s="318"/>
      <c r="K210" s="28"/>
      <c r="L210" s="318" t="s">
        <v>249</v>
      </c>
      <c r="M210" s="318"/>
      <c r="N210" s="318"/>
      <c r="O210" s="28"/>
      <c r="P210" s="28"/>
      <c r="Q210" s="318" t="s">
        <v>242</v>
      </c>
      <c r="R210" s="318"/>
      <c r="S210" s="318"/>
      <c r="T210" s="28"/>
      <c r="U210" s="318" t="s">
        <v>238</v>
      </c>
      <c r="V210" s="318"/>
      <c r="W210" s="318"/>
      <c r="X210" s="28"/>
      <c r="Y210" s="28"/>
      <c r="Z210" s="318" t="s">
        <v>182</v>
      </c>
      <c r="AA210" s="318"/>
      <c r="AB210" s="318"/>
      <c r="AC210" s="28"/>
      <c r="AD210" s="114"/>
      <c r="AE210" s="114"/>
      <c r="AF210" s="552"/>
      <c r="AG210" s="234"/>
    </row>
    <row r="211" spans="2:33" x14ac:dyDescent="0.2">
      <c r="B211" s="519" t="s">
        <v>105</v>
      </c>
      <c r="C211" s="492" t="s">
        <v>253</v>
      </c>
      <c r="D211" s="493"/>
      <c r="E211" s="361" t="s">
        <v>133</v>
      </c>
      <c r="F211" s="362"/>
      <c r="G211" s="362"/>
      <c r="H211" s="362"/>
      <c r="I211" s="345" t="s">
        <v>26</v>
      </c>
      <c r="J211" s="346"/>
      <c r="K211" s="347"/>
      <c r="L211" s="361" t="s">
        <v>63</v>
      </c>
      <c r="M211" s="362"/>
      <c r="N211" s="362"/>
      <c r="O211" s="363"/>
      <c r="P211" s="492" t="s">
        <v>265</v>
      </c>
      <c r="Q211" s="493"/>
      <c r="R211" s="147"/>
      <c r="S211"/>
      <c r="T211" s="361" t="s">
        <v>92</v>
      </c>
      <c r="U211" s="362"/>
      <c r="V211" s="362"/>
      <c r="W211" s="363"/>
      <c r="X211" s="345" t="s">
        <v>87</v>
      </c>
      <c r="Y211" s="346"/>
      <c r="Z211" s="347"/>
      <c r="AA211" s="49" t="s">
        <v>208</v>
      </c>
      <c r="AB211" s="345" t="s">
        <v>287</v>
      </c>
      <c r="AC211" s="346"/>
      <c r="AD211" s="347"/>
      <c r="AE211" s="49" t="s">
        <v>35</v>
      </c>
      <c r="AF211" s="228"/>
      <c r="AG211" s="56"/>
    </row>
    <row r="212" spans="2:33" x14ac:dyDescent="0.2">
      <c r="B212" s="520"/>
      <c r="C212" s="56"/>
      <c r="D212" s="56"/>
      <c r="E212" s="345" t="s">
        <v>87</v>
      </c>
      <c r="F212" s="346"/>
      <c r="G212" s="347"/>
      <c r="H212"/>
      <c r="I212"/>
      <c r="J212"/>
      <c r="K212" s="56"/>
      <c r="L212" s="492" t="s">
        <v>173</v>
      </c>
      <c r="M212" s="493"/>
      <c r="N212" s="56"/>
      <c r="O212" s="56"/>
      <c r="P212"/>
      <c r="Q212" s="291" t="s">
        <v>112</v>
      </c>
      <c r="R212" s="292"/>
      <c r="S212" s="293"/>
      <c r="T212" s="56"/>
      <c r="U212" s="345" t="s">
        <v>79</v>
      </c>
      <c r="V212" s="346"/>
      <c r="W212" s="347"/>
      <c r="X212"/>
      <c r="Y212"/>
      <c r="Z212" s="56"/>
      <c r="AB212"/>
      <c r="AC212"/>
      <c r="AD212" s="56"/>
      <c r="AE212" s="196"/>
      <c r="AF212" s="229"/>
      <c r="AG212" s="56"/>
    </row>
    <row r="213" spans="2:33" x14ac:dyDescent="0.2">
      <c r="B213" s="521"/>
      <c r="C213" s="427" t="s">
        <v>193</v>
      </c>
      <c r="D213" s="427"/>
      <c r="E213" s="79"/>
      <c r="F213" s="79"/>
      <c r="G213" s="79"/>
      <c r="H213" s="48" t="s">
        <v>100</v>
      </c>
      <c r="I213" s="298" t="s">
        <v>101</v>
      </c>
      <c r="J213" s="298"/>
      <c r="K213" s="298"/>
      <c r="L213" s="79"/>
      <c r="M213" s="130"/>
      <c r="N213" s="355" t="s">
        <v>27</v>
      </c>
      <c r="O213" s="355"/>
      <c r="P213" s="355"/>
      <c r="Q213" s="56"/>
      <c r="R213" s="298" t="s">
        <v>44</v>
      </c>
      <c r="S213" s="298"/>
      <c r="T213" s="298"/>
      <c r="U213" s="79"/>
      <c r="V213" s="56"/>
      <c r="W213" s="56"/>
      <c r="X213" s="427" t="s">
        <v>38</v>
      </c>
      <c r="Y213" s="427"/>
      <c r="Z213" s="505" t="s">
        <v>270</v>
      </c>
      <c r="AA213" s="505"/>
      <c r="AB213" s="356" t="s">
        <v>192</v>
      </c>
      <c r="AC213" s="356"/>
      <c r="AD213" s="356"/>
      <c r="AE213" s="356"/>
      <c r="AF213" s="230"/>
      <c r="AG213" s="56"/>
    </row>
    <row r="214" spans="2:33" ht="13.5" customHeight="1" x14ac:dyDescent="0.2">
      <c r="B214" s="522" t="s">
        <v>103</v>
      </c>
      <c r="C214" s="506" t="s">
        <v>253</v>
      </c>
      <c r="D214" s="506"/>
      <c r="E214" s="312" t="s">
        <v>133</v>
      </c>
      <c r="F214" s="312"/>
      <c r="G214" s="312"/>
      <c r="H214" s="312"/>
      <c r="I214" s="313" t="s">
        <v>26</v>
      </c>
      <c r="J214" s="313"/>
      <c r="K214" s="313"/>
      <c r="L214" s="312" t="s">
        <v>63</v>
      </c>
      <c r="M214" s="312"/>
      <c r="N214" s="312"/>
      <c r="O214" s="312"/>
      <c r="P214" s="15"/>
      <c r="Q214" s="313" t="s">
        <v>112</v>
      </c>
      <c r="R214" s="313"/>
      <c r="S214" s="313"/>
      <c r="T214" s="312" t="s">
        <v>92</v>
      </c>
      <c r="U214" s="312"/>
      <c r="V214" s="312"/>
      <c r="W214" s="312"/>
      <c r="X214" s="15"/>
      <c r="Y214" s="313" t="s">
        <v>195</v>
      </c>
      <c r="Z214" s="313"/>
      <c r="AA214" s="313"/>
      <c r="AB214" s="313" t="s">
        <v>287</v>
      </c>
      <c r="AC214" s="313"/>
      <c r="AD214" s="313"/>
      <c r="AE214" s="313" t="s">
        <v>251</v>
      </c>
      <c r="AF214" s="314"/>
      <c r="AG214" s="56"/>
    </row>
    <row r="215" spans="2:33" x14ac:dyDescent="0.2">
      <c r="B215" s="523"/>
      <c r="C215" s="54" t="s">
        <v>146</v>
      </c>
      <c r="D215" s="10"/>
      <c r="E215" s="315" t="s">
        <v>87</v>
      </c>
      <c r="F215" s="315"/>
      <c r="G215" s="315"/>
      <c r="H215" s="10"/>
      <c r="I215" s="377" t="s">
        <v>220</v>
      </c>
      <c r="J215" s="377"/>
      <c r="K215" s="377"/>
      <c r="L215" s="433" t="s">
        <v>173</v>
      </c>
      <c r="M215" s="433"/>
      <c r="N215" s="133" t="s">
        <v>171</v>
      </c>
      <c r="O215" s="315" t="s">
        <v>86</v>
      </c>
      <c r="P215" s="315"/>
      <c r="Q215" s="315"/>
      <c r="R215" s="377" t="s">
        <v>191</v>
      </c>
      <c r="S215" s="377"/>
      <c r="T215" s="377"/>
      <c r="U215" s="315" t="s">
        <v>79</v>
      </c>
      <c r="V215" s="315"/>
      <c r="W215" s="315"/>
      <c r="X215" s="315" t="s">
        <v>87</v>
      </c>
      <c r="Y215" s="315"/>
      <c r="Z215" s="315"/>
      <c r="AA215" s="10"/>
      <c r="AB215" s="10"/>
      <c r="AC215" s="315" t="s">
        <v>16</v>
      </c>
      <c r="AD215" s="315"/>
      <c r="AE215" s="315"/>
      <c r="AF215" s="203"/>
      <c r="AG215" s="56"/>
    </row>
    <row r="216" spans="2:33" x14ac:dyDescent="0.2">
      <c r="B216" s="523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203"/>
      <c r="AG216" s="56"/>
    </row>
    <row r="217" spans="2:33" x14ac:dyDescent="0.2">
      <c r="B217" s="523"/>
      <c r="C217" s="379" t="s">
        <v>193</v>
      </c>
      <c r="D217" s="379"/>
      <c r="E217" s="298" t="s">
        <v>16</v>
      </c>
      <c r="F217" s="298"/>
      <c r="G217" s="298"/>
      <c r="H217" s="97" t="s">
        <v>283</v>
      </c>
      <c r="I217" s="298" t="s">
        <v>101</v>
      </c>
      <c r="J217" s="298"/>
      <c r="K217" s="298"/>
      <c r="L217" s="298" t="s">
        <v>90</v>
      </c>
      <c r="M217" s="298"/>
      <c r="N217" s="298" t="s">
        <v>27</v>
      </c>
      <c r="O217" s="298"/>
      <c r="P217" s="298"/>
      <c r="Q217" s="97" t="s">
        <v>39</v>
      </c>
      <c r="R217" s="298" t="s">
        <v>44</v>
      </c>
      <c r="S217" s="298"/>
      <c r="T217" s="298"/>
      <c r="U217" s="298" t="s">
        <v>210</v>
      </c>
      <c r="V217" s="298"/>
      <c r="W217" s="298" t="s">
        <v>38</v>
      </c>
      <c r="X217" s="298"/>
      <c r="Y217" s="298"/>
      <c r="Z217" s="379" t="s">
        <v>199</v>
      </c>
      <c r="AA217" s="379"/>
      <c r="AB217" s="356" t="s">
        <v>192</v>
      </c>
      <c r="AC217" s="356"/>
      <c r="AD217" s="356"/>
      <c r="AE217" s="356"/>
      <c r="AF217" s="203"/>
      <c r="AG217" s="56"/>
    </row>
    <row r="218" spans="2:33" x14ac:dyDescent="0.2">
      <c r="B218" s="524"/>
      <c r="C218" s="318" t="s">
        <v>225</v>
      </c>
      <c r="D218" s="318"/>
      <c r="E218" s="318"/>
      <c r="F218" s="307" t="s">
        <v>283</v>
      </c>
      <c r="G218" s="307"/>
      <c r="H218" s="318" t="s">
        <v>228</v>
      </c>
      <c r="I218" s="318"/>
      <c r="J218" s="318"/>
      <c r="K218" s="116" t="s">
        <v>285</v>
      </c>
      <c r="L218" s="318" t="s">
        <v>249</v>
      </c>
      <c r="M218" s="318"/>
      <c r="N218" s="318"/>
      <c r="O218" s="307" t="s">
        <v>234</v>
      </c>
      <c r="P218" s="307"/>
      <c r="Q218" s="318" t="s">
        <v>242</v>
      </c>
      <c r="R218" s="318"/>
      <c r="S218" s="318"/>
      <c r="T218" s="116" t="s">
        <v>149</v>
      </c>
      <c r="U218" s="318" t="s">
        <v>238</v>
      </c>
      <c r="V218" s="318"/>
      <c r="W218" s="318"/>
      <c r="X218" s="28"/>
      <c r="Y218" s="32" t="s">
        <v>286</v>
      </c>
      <c r="Z218" s="318" t="s">
        <v>182</v>
      </c>
      <c r="AA218" s="318"/>
      <c r="AB218" s="318"/>
      <c r="AC218" s="28"/>
      <c r="AD218" s="318" t="s">
        <v>132</v>
      </c>
      <c r="AE218" s="318"/>
      <c r="AF218" s="319"/>
      <c r="AG218" s="56"/>
    </row>
    <row r="219" spans="2:33" ht="13.5" customHeight="1" x14ac:dyDescent="0.2">
      <c r="B219" s="542" t="s">
        <v>106</v>
      </c>
      <c r="C219" s="507" t="s">
        <v>253</v>
      </c>
      <c r="D219" s="508"/>
      <c r="E219" s="301" t="s">
        <v>133</v>
      </c>
      <c r="F219" s="302"/>
      <c r="G219" s="302"/>
      <c r="H219" s="302"/>
      <c r="I219" s="303" t="s">
        <v>26</v>
      </c>
      <c r="J219" s="304"/>
      <c r="K219" s="305"/>
      <c r="L219" s="301" t="s">
        <v>63</v>
      </c>
      <c r="M219" s="302"/>
      <c r="N219" s="302"/>
      <c r="O219" s="509"/>
      <c r="P219" s="320" t="s">
        <v>86</v>
      </c>
      <c r="Q219" s="321"/>
      <c r="R219" s="320" t="s">
        <v>112</v>
      </c>
      <c r="S219" s="321"/>
      <c r="T219" s="301" t="s">
        <v>92</v>
      </c>
      <c r="U219" s="302"/>
      <c r="V219" s="302"/>
      <c r="W219" s="509"/>
      <c r="X219" s="303" t="s">
        <v>87</v>
      </c>
      <c r="Y219" s="304"/>
      <c r="Z219" s="305"/>
      <c r="AA219" s="184" t="s">
        <v>290</v>
      </c>
      <c r="AB219" s="510"/>
      <c r="AC219" s="511"/>
      <c r="AD219" s="303" t="s">
        <v>251</v>
      </c>
      <c r="AE219" s="304"/>
      <c r="AF219" s="306"/>
      <c r="AG219" s="56"/>
    </row>
    <row r="220" spans="2:33" x14ac:dyDescent="0.2">
      <c r="B220" s="544"/>
      <c r="C220" s="47" t="s">
        <v>146</v>
      </c>
      <c r="D220" s="65" t="s">
        <v>313</v>
      </c>
      <c r="E220" s="345" t="s">
        <v>87</v>
      </c>
      <c r="F220" s="346"/>
      <c r="G220" s="347"/>
      <c r="H220" s="10"/>
      <c r="I220" s="295" t="s">
        <v>220</v>
      </c>
      <c r="J220" s="296"/>
      <c r="K220" s="297"/>
      <c r="L220" s="385" t="s">
        <v>77</v>
      </c>
      <c r="M220" s="386"/>
      <c r="N220" s="65" t="s">
        <v>316</v>
      </c>
      <c r="O220" s="129" t="s">
        <v>86</v>
      </c>
      <c r="P220" s="316" t="s">
        <v>215</v>
      </c>
      <c r="Q220" s="387"/>
      <c r="R220" s="317"/>
      <c r="S220" s="322" t="s">
        <v>144</v>
      </c>
      <c r="T220" s="512"/>
      <c r="U220" s="345" t="s">
        <v>79</v>
      </c>
      <c r="V220" s="346"/>
      <c r="W220" s="347"/>
      <c r="X220" s="316" t="s">
        <v>26</v>
      </c>
      <c r="Y220" s="387"/>
      <c r="Z220" s="317"/>
      <c r="AA220" s="10"/>
      <c r="AB220" s="345" t="s">
        <v>287</v>
      </c>
      <c r="AC220" s="346"/>
      <c r="AD220" s="347"/>
      <c r="AE220" s="129" t="s">
        <v>16</v>
      </c>
      <c r="AF220" s="203"/>
      <c r="AG220" s="56"/>
    </row>
    <row r="221" spans="2:33" x14ac:dyDescent="0.2">
      <c r="B221" s="544"/>
      <c r="C221" s="427" t="s">
        <v>193</v>
      </c>
      <c r="D221" s="427"/>
      <c r="E221" s="355" t="s">
        <v>16</v>
      </c>
      <c r="F221" s="355"/>
      <c r="G221" s="355"/>
      <c r="H221" s="98" t="s">
        <v>284</v>
      </c>
      <c r="I221" s="298" t="s">
        <v>101</v>
      </c>
      <c r="J221" s="298"/>
      <c r="K221" s="298"/>
      <c r="L221" s="324" t="s">
        <v>315</v>
      </c>
      <c r="M221" s="325"/>
      <c r="N221" s="355" t="s">
        <v>27</v>
      </c>
      <c r="O221" s="355"/>
      <c r="P221" s="355"/>
      <c r="Q221" s="141" t="s">
        <v>318</v>
      </c>
      <c r="R221" s="298" t="s">
        <v>44</v>
      </c>
      <c r="S221" s="298"/>
      <c r="T221" s="298"/>
      <c r="U221" s="513" t="s">
        <v>177</v>
      </c>
      <c r="V221" s="514"/>
      <c r="W221" s="355" t="s">
        <v>38</v>
      </c>
      <c r="X221" s="355"/>
      <c r="Y221" s="355"/>
      <c r="Z221" s="513" t="s">
        <v>153</v>
      </c>
      <c r="AA221" s="514"/>
      <c r="AB221" s="356" t="s">
        <v>192</v>
      </c>
      <c r="AC221" s="356"/>
      <c r="AD221" s="356"/>
      <c r="AE221" s="356"/>
      <c r="AF221" s="203"/>
      <c r="AG221" s="56"/>
    </row>
    <row r="222" spans="2:33" x14ac:dyDescent="0.2">
      <c r="B222" s="545"/>
      <c r="C222" s="318" t="s">
        <v>225</v>
      </c>
      <c r="D222" s="318"/>
      <c r="E222" s="318"/>
      <c r="F222" s="308" t="s">
        <v>200</v>
      </c>
      <c r="G222" s="309"/>
      <c r="H222" s="318" t="s">
        <v>228</v>
      </c>
      <c r="I222" s="318"/>
      <c r="J222" s="318"/>
      <c r="K222" s="117" t="s">
        <v>314</v>
      </c>
      <c r="L222" s="318" t="s">
        <v>249</v>
      </c>
      <c r="M222" s="318"/>
      <c r="N222" s="318"/>
      <c r="O222" s="548" t="s">
        <v>317</v>
      </c>
      <c r="P222" s="549"/>
      <c r="Q222" s="318" t="s">
        <v>242</v>
      </c>
      <c r="R222" s="318"/>
      <c r="S222" s="318"/>
      <c r="T222" s="125" t="s">
        <v>260</v>
      </c>
      <c r="U222" s="318" t="s">
        <v>238</v>
      </c>
      <c r="V222" s="318"/>
      <c r="W222" s="318"/>
      <c r="X222" s="28"/>
      <c r="Y222" s="178" t="s">
        <v>93</v>
      </c>
      <c r="Z222" s="318" t="s">
        <v>182</v>
      </c>
      <c r="AA222" s="318"/>
      <c r="AB222" s="318"/>
      <c r="AC222" s="28"/>
      <c r="AD222" s="318" t="s">
        <v>132</v>
      </c>
      <c r="AE222" s="318"/>
      <c r="AF222" s="319"/>
      <c r="AG222" s="56"/>
    </row>
    <row r="223" spans="2:33" x14ac:dyDescent="0.2">
      <c r="B223" s="4"/>
    </row>
    <row r="224" spans="2:33" hidden="1" x14ac:dyDescent="0.2">
      <c r="B224" s="532" t="s">
        <v>47</v>
      </c>
      <c r="C224" s="21"/>
      <c r="D224" s="21"/>
      <c r="E224" s="328" t="s">
        <v>133</v>
      </c>
      <c r="F224" s="329"/>
      <c r="G224" s="329"/>
      <c r="H224" s="557"/>
      <c r="I224" s="326" t="s">
        <v>101</v>
      </c>
      <c r="J224" s="326"/>
      <c r="K224" s="326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326" t="s">
        <v>38</v>
      </c>
      <c r="X224" s="326"/>
      <c r="Y224" s="326"/>
      <c r="Z224" s="21"/>
      <c r="AA224" s="21"/>
      <c r="AB224" s="21"/>
      <c r="AC224" s="21"/>
      <c r="AD224" s="21"/>
      <c r="AE224" s="21"/>
      <c r="AF224" s="231"/>
      <c r="AG224" s="261"/>
    </row>
    <row r="225" spans="2:33" hidden="1" x14ac:dyDescent="0.2">
      <c r="B225" s="533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327" t="s">
        <v>242</v>
      </c>
      <c r="R225" s="327"/>
      <c r="S225" s="32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232"/>
      <c r="AG225" s="261"/>
    </row>
    <row r="226" spans="2:33" hidden="1" x14ac:dyDescent="0.2">
      <c r="B226" s="534" t="s">
        <v>41</v>
      </c>
      <c r="C226" s="390" t="s">
        <v>193</v>
      </c>
      <c r="D226" s="390"/>
      <c r="E226" s="330" t="s">
        <v>87</v>
      </c>
      <c r="F226" s="331"/>
      <c r="G226" s="332"/>
      <c r="H226" s="21"/>
      <c r="I226" s="488" t="s">
        <v>220</v>
      </c>
      <c r="J226" s="489"/>
      <c r="K226" s="490"/>
      <c r="L226" s="21"/>
      <c r="M226" s="21"/>
      <c r="N226" s="21"/>
      <c r="O226" s="330" t="s">
        <v>86</v>
      </c>
      <c r="P226" s="331"/>
      <c r="Q226" s="332"/>
      <c r="R226" s="21"/>
      <c r="S226" s="21"/>
      <c r="T226" s="21"/>
      <c r="U226" s="330" t="s">
        <v>79</v>
      </c>
      <c r="V226" s="331"/>
      <c r="W226" s="332"/>
      <c r="X226" s="330" t="s">
        <v>87</v>
      </c>
      <c r="Y226" s="331"/>
      <c r="Z226" s="332"/>
      <c r="AA226" s="21"/>
      <c r="AB226" s="21"/>
      <c r="AC226" s="21"/>
      <c r="AD226" s="21"/>
      <c r="AE226" s="21"/>
      <c r="AF226" s="231"/>
      <c r="AG226" s="262"/>
    </row>
    <row r="227" spans="2:33" hidden="1" x14ac:dyDescent="0.2">
      <c r="B227" s="535"/>
      <c r="C227" s="406" t="s">
        <v>246</v>
      </c>
      <c r="D227" s="406"/>
      <c r="E227" s="57"/>
      <c r="F227" s="57"/>
      <c r="G227" s="57"/>
      <c r="H227" s="327" t="s">
        <v>228</v>
      </c>
      <c r="I227" s="327"/>
      <c r="J227" s="327"/>
      <c r="K227" s="57"/>
      <c r="L227" s="57"/>
      <c r="M227" s="57"/>
      <c r="N227" s="57"/>
      <c r="O227" s="57"/>
      <c r="P227" s="57"/>
      <c r="Q227" s="57"/>
      <c r="R227" s="333" t="s">
        <v>191</v>
      </c>
      <c r="S227" s="334"/>
      <c r="T227" s="335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232"/>
      <c r="AG227" s="262"/>
    </row>
    <row r="228" spans="2:33" hidden="1" x14ac:dyDescent="0.2">
      <c r="B228" s="536" t="s">
        <v>28</v>
      </c>
      <c r="C228" s="47" t="s">
        <v>146</v>
      </c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546" t="s">
        <v>70</v>
      </c>
      <c r="Q228" s="547"/>
      <c r="R228" s="547"/>
      <c r="S228" s="21"/>
      <c r="T228" s="326" t="s">
        <v>210</v>
      </c>
      <c r="U228" s="326"/>
      <c r="V228" s="326"/>
      <c r="W228" s="21"/>
      <c r="X228" s="21"/>
      <c r="Y228" s="326" t="s">
        <v>199</v>
      </c>
      <c r="Z228" s="326"/>
      <c r="AA228" s="326"/>
      <c r="AB228" s="21"/>
      <c r="AC228" s="21"/>
      <c r="AD228" s="21"/>
      <c r="AE228" s="21"/>
      <c r="AF228" s="231"/>
      <c r="AG228" s="263"/>
    </row>
    <row r="229" spans="2:33" hidden="1" x14ac:dyDescent="0.2">
      <c r="B229" s="537"/>
      <c r="C229" s="327" t="s">
        <v>225</v>
      </c>
      <c r="D229" s="327"/>
      <c r="E229" s="327"/>
      <c r="F229" s="57"/>
      <c r="G229" s="57"/>
      <c r="H229" s="57"/>
      <c r="I229" s="57"/>
      <c r="J229" s="57"/>
      <c r="K229" s="57"/>
      <c r="L229" s="327" t="s">
        <v>249</v>
      </c>
      <c r="M229" s="327"/>
      <c r="N229" s="32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327" t="s">
        <v>132</v>
      </c>
      <c r="AE229" s="327"/>
      <c r="AF229" s="336"/>
      <c r="AG229" s="79"/>
    </row>
    <row r="230" spans="2:33" hidden="1" x14ac:dyDescent="0.2">
      <c r="B230" s="536" t="s">
        <v>50</v>
      </c>
      <c r="C230" s="21"/>
      <c r="D230" s="21"/>
      <c r="E230" s="21"/>
      <c r="F230" s="326" t="s">
        <v>200</v>
      </c>
      <c r="G230" s="326"/>
      <c r="H230" s="326"/>
      <c r="I230" s="21"/>
      <c r="J230" s="21"/>
      <c r="K230" s="326" t="s">
        <v>90</v>
      </c>
      <c r="L230" s="326"/>
      <c r="M230" s="326"/>
      <c r="N230" s="21"/>
      <c r="O230" s="326" t="s">
        <v>234</v>
      </c>
      <c r="P230" s="326"/>
      <c r="Q230" s="326"/>
      <c r="R230" s="21"/>
      <c r="S230" s="21"/>
      <c r="T230" s="289" t="s">
        <v>92</v>
      </c>
      <c r="U230" s="290"/>
      <c r="V230" s="290"/>
      <c r="W230" s="338"/>
      <c r="X230" s="21"/>
      <c r="Y230" s="21"/>
      <c r="Z230" s="21"/>
      <c r="AA230" s="21"/>
      <c r="AB230" s="356" t="s">
        <v>192</v>
      </c>
      <c r="AC230" s="356"/>
      <c r="AD230" s="356"/>
      <c r="AE230" s="356"/>
      <c r="AF230" s="231"/>
      <c r="AG230" s="262"/>
    </row>
    <row r="231" spans="2:33" hidden="1" x14ac:dyDescent="0.2">
      <c r="B231" s="537"/>
      <c r="C231" s="57"/>
      <c r="D231" s="57"/>
      <c r="E231" s="57"/>
      <c r="F231" s="57"/>
      <c r="G231" s="57"/>
      <c r="H231" s="57"/>
      <c r="I231" s="57"/>
      <c r="J231" s="57"/>
      <c r="K231" s="57"/>
      <c r="L231" s="333" t="s">
        <v>171</v>
      </c>
      <c r="M231" s="334"/>
      <c r="N231" s="335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232"/>
      <c r="AG231" s="262"/>
    </row>
    <row r="232" spans="2:33" hidden="1" x14ac:dyDescent="0.2">
      <c r="B232" s="536" t="s">
        <v>57</v>
      </c>
      <c r="C232" s="21"/>
      <c r="D232" s="21"/>
      <c r="E232" s="21"/>
      <c r="F232" s="21"/>
      <c r="G232" s="21"/>
      <c r="H232" s="21"/>
      <c r="I232" s="330" t="s">
        <v>26</v>
      </c>
      <c r="J232" s="331"/>
      <c r="K232" s="332"/>
      <c r="L232" s="289" t="s">
        <v>63</v>
      </c>
      <c r="M232" s="290"/>
      <c r="N232" s="290"/>
      <c r="O232" s="338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438" t="s">
        <v>261</v>
      </c>
      <c r="AC232" s="439"/>
      <c r="AD232" s="440"/>
      <c r="AE232" s="21"/>
      <c r="AF232" s="231"/>
      <c r="AG232" s="263"/>
    </row>
    <row r="233" spans="2:33" hidden="1" x14ac:dyDescent="0.2">
      <c r="B233" s="53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333" t="s">
        <v>215</v>
      </c>
      <c r="Q233" s="334"/>
      <c r="R233" s="335"/>
      <c r="S233" s="57"/>
      <c r="T233" s="57"/>
      <c r="U233" s="57"/>
      <c r="V233" s="57"/>
      <c r="W233" s="57"/>
      <c r="X233" s="333" t="s">
        <v>26</v>
      </c>
      <c r="Y233" s="334"/>
      <c r="Z233" s="335"/>
      <c r="AA233" s="57"/>
      <c r="AB233" s="57"/>
      <c r="AC233" s="57"/>
      <c r="AD233" s="57"/>
      <c r="AE233" s="57"/>
      <c r="AF233" s="232"/>
      <c r="AG233" s="262"/>
    </row>
    <row r="234" spans="2:33" hidden="1" x14ac:dyDescent="0.2">
      <c r="B234" s="536" t="s">
        <v>25</v>
      </c>
      <c r="C234" s="441" t="s">
        <v>253</v>
      </c>
      <c r="D234" s="503"/>
      <c r="E234" s="21"/>
      <c r="F234" s="21"/>
      <c r="G234" s="21"/>
      <c r="H234" s="21"/>
      <c r="I234" s="21"/>
      <c r="J234" s="21"/>
      <c r="K234" s="330" t="s">
        <v>77</v>
      </c>
      <c r="L234" s="331"/>
      <c r="M234" s="332"/>
      <c r="N234" s="21"/>
      <c r="O234" s="21"/>
      <c r="P234" s="21"/>
      <c r="Q234" s="330" t="s">
        <v>112</v>
      </c>
      <c r="R234" s="331"/>
      <c r="S234" s="332"/>
      <c r="T234" s="21"/>
      <c r="U234" s="21"/>
      <c r="V234" s="21"/>
      <c r="W234" s="21"/>
      <c r="X234" s="21"/>
      <c r="Y234" s="330" t="s">
        <v>195</v>
      </c>
      <c r="Z234" s="331"/>
      <c r="AA234" s="332"/>
      <c r="AB234" s="21"/>
      <c r="AC234" s="21"/>
      <c r="AD234" s="330" t="s">
        <v>251</v>
      </c>
      <c r="AE234" s="331"/>
      <c r="AF234" s="337"/>
      <c r="AG234" s="262"/>
    </row>
    <row r="235" spans="2:33" hidden="1" x14ac:dyDescent="0.2">
      <c r="B235" s="53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327" t="s">
        <v>238</v>
      </c>
      <c r="V235" s="327"/>
      <c r="W235" s="327"/>
      <c r="X235" s="57"/>
      <c r="Y235" s="57"/>
      <c r="Z235" s="57"/>
      <c r="AA235" s="57"/>
      <c r="AB235" s="57"/>
      <c r="AC235" s="57"/>
      <c r="AD235" s="57"/>
      <c r="AE235" s="57"/>
      <c r="AF235" s="232"/>
      <c r="AG235" s="262"/>
    </row>
    <row r="236" spans="2:33" hidden="1" x14ac:dyDescent="0.2">
      <c r="B236" s="536" t="s">
        <v>11</v>
      </c>
      <c r="C236" s="21"/>
      <c r="D236" s="21"/>
      <c r="E236" s="326" t="s">
        <v>16</v>
      </c>
      <c r="F236" s="326"/>
      <c r="G236" s="326"/>
      <c r="H236" s="21"/>
      <c r="I236" s="21"/>
      <c r="J236" s="21"/>
      <c r="K236" s="21"/>
      <c r="L236" s="21"/>
      <c r="M236" s="21"/>
      <c r="N236" s="326" t="s">
        <v>27</v>
      </c>
      <c r="O236" s="326"/>
      <c r="P236" s="326"/>
      <c r="Q236" s="21"/>
      <c r="R236" s="326" t="s">
        <v>44</v>
      </c>
      <c r="S236" s="326"/>
      <c r="T236" s="326"/>
      <c r="U236" s="21"/>
      <c r="V236" s="21"/>
      <c r="W236" s="21"/>
      <c r="X236" s="21"/>
      <c r="Y236" s="21"/>
      <c r="Z236" s="21"/>
      <c r="AA236" s="21"/>
      <c r="AB236" s="21"/>
      <c r="AC236" s="330" t="s">
        <v>16</v>
      </c>
      <c r="AD236" s="331"/>
      <c r="AE236" s="332"/>
      <c r="AF236" s="231"/>
      <c r="AG236" s="262"/>
    </row>
    <row r="237" spans="2:33" hidden="1" x14ac:dyDescent="0.2">
      <c r="B237" s="53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327" t="s">
        <v>182</v>
      </c>
      <c r="AA237" s="327"/>
      <c r="AB237" s="327"/>
      <c r="AC237" s="57"/>
      <c r="AD237" s="57"/>
      <c r="AE237" s="57"/>
      <c r="AF237" s="232"/>
      <c r="AG237" s="262"/>
    </row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4.25" customHeight="1" x14ac:dyDescent="0.2"/>
    <row r="251" ht="14.25" customHeight="1" x14ac:dyDescent="0.2"/>
    <row r="252" ht="13.5" customHeight="1" x14ac:dyDescent="0.2"/>
    <row r="253" ht="13.5" customHeight="1" x14ac:dyDescent="0.2"/>
    <row r="254" ht="14.25" customHeight="1" x14ac:dyDescent="0.2"/>
    <row r="255" ht="14.25" customHeight="1" x14ac:dyDescent="0.2"/>
    <row r="256" ht="13.5" customHeight="1" x14ac:dyDescent="0.2"/>
    <row r="257" ht="13.5" customHeight="1" x14ac:dyDescent="0.2"/>
    <row r="258" ht="14.25" customHeight="1" x14ac:dyDescent="0.2"/>
    <row r="259" ht="14.25" customHeight="1" x14ac:dyDescent="0.2"/>
    <row r="260" ht="13.5" customHeight="1" x14ac:dyDescent="0.2"/>
    <row r="261" ht="13.5" customHeight="1" x14ac:dyDescent="0.2"/>
  </sheetData>
  <mergeCells count="1100">
    <mergeCell ref="B232:B233"/>
    <mergeCell ref="B234:B235"/>
    <mergeCell ref="B236:B237"/>
    <mergeCell ref="B6:B14"/>
    <mergeCell ref="B45:B53"/>
    <mergeCell ref="T45:X53"/>
    <mergeCell ref="B84:B92"/>
    <mergeCell ref="L84:L92"/>
    <mergeCell ref="B123:B132"/>
    <mergeCell ref="B163:B172"/>
    <mergeCell ref="B202:B210"/>
    <mergeCell ref="B180:B183"/>
    <mergeCell ref="B185:B186"/>
    <mergeCell ref="B187:B188"/>
    <mergeCell ref="B189:B190"/>
    <mergeCell ref="B191:B192"/>
    <mergeCell ref="B193:B194"/>
    <mergeCell ref="B195:B196"/>
    <mergeCell ref="B197:B198"/>
    <mergeCell ref="B200:B201"/>
    <mergeCell ref="B69:B70"/>
    <mergeCell ref="B71:B72"/>
    <mergeCell ref="B73:B74"/>
    <mergeCell ref="B75:B76"/>
    <mergeCell ref="B77:B78"/>
    <mergeCell ref="B79:B80"/>
    <mergeCell ref="B82:B83"/>
    <mergeCell ref="B93:B95"/>
    <mergeCell ref="B96:B100"/>
    <mergeCell ref="B101:B104"/>
    <mergeCell ref="B106:B107"/>
    <mergeCell ref="B108:B109"/>
    <mergeCell ref="AF205:AF210"/>
    <mergeCell ref="B211:B213"/>
    <mergeCell ref="B214:B218"/>
    <mergeCell ref="B219:B222"/>
    <mergeCell ref="B224:B225"/>
    <mergeCell ref="B226:B227"/>
    <mergeCell ref="B228:B229"/>
    <mergeCell ref="B230:B231"/>
    <mergeCell ref="B121:B122"/>
    <mergeCell ref="W127:W132"/>
    <mergeCell ref="B133:B135"/>
    <mergeCell ref="B136:B140"/>
    <mergeCell ref="B141:B144"/>
    <mergeCell ref="H141:H144"/>
    <mergeCell ref="B146:B147"/>
    <mergeCell ref="B148:B149"/>
    <mergeCell ref="B150:B151"/>
    <mergeCell ref="B152:B153"/>
    <mergeCell ref="B154:B155"/>
    <mergeCell ref="B156:B157"/>
    <mergeCell ref="B158:B159"/>
    <mergeCell ref="B161:B162"/>
    <mergeCell ref="L167:L172"/>
    <mergeCell ref="B173:B175"/>
    <mergeCell ref="B176:B179"/>
    <mergeCell ref="E224:H224"/>
    <mergeCell ref="I224:K224"/>
    <mergeCell ref="W224:Y224"/>
    <mergeCell ref="Q225:S225"/>
    <mergeCell ref="C226:D226"/>
    <mergeCell ref="E226:G226"/>
    <mergeCell ref="I226:K226"/>
    <mergeCell ref="B110:B111"/>
    <mergeCell ref="B112:B113"/>
    <mergeCell ref="B114:B115"/>
    <mergeCell ref="B116:B117"/>
    <mergeCell ref="B118:B119"/>
    <mergeCell ref="P233:R233"/>
    <mergeCell ref="X233:Z233"/>
    <mergeCell ref="C234:D234"/>
    <mergeCell ref="K234:M234"/>
    <mergeCell ref="Q234:S234"/>
    <mergeCell ref="Y234:AA234"/>
    <mergeCell ref="AD234:AF234"/>
    <mergeCell ref="U235:W235"/>
    <mergeCell ref="E236:G236"/>
    <mergeCell ref="N236:P236"/>
    <mergeCell ref="R236:T236"/>
    <mergeCell ref="AC236:AE236"/>
    <mergeCell ref="T230:W230"/>
    <mergeCell ref="AB230:AE230"/>
    <mergeCell ref="L231:N231"/>
    <mergeCell ref="I232:K232"/>
    <mergeCell ref="L232:O232"/>
    <mergeCell ref="AB232:AD232"/>
    <mergeCell ref="C222:E222"/>
    <mergeCell ref="F222:G222"/>
    <mergeCell ref="H222:J222"/>
    <mergeCell ref="L222:N222"/>
    <mergeCell ref="O222:P222"/>
    <mergeCell ref="Q222:S222"/>
    <mergeCell ref="U222:W222"/>
    <mergeCell ref="Z222:AB222"/>
    <mergeCell ref="AD222:AF222"/>
    <mergeCell ref="Z237:AB237"/>
    <mergeCell ref="B4:B5"/>
    <mergeCell ref="AF10:AF14"/>
    <mergeCell ref="B15:B17"/>
    <mergeCell ref="B18:B22"/>
    <mergeCell ref="C18:C22"/>
    <mergeCell ref="B23:B26"/>
    <mergeCell ref="B28:B29"/>
    <mergeCell ref="B30:B31"/>
    <mergeCell ref="B32:B33"/>
    <mergeCell ref="B34:B35"/>
    <mergeCell ref="B36:B37"/>
    <mergeCell ref="B38:B39"/>
    <mergeCell ref="B40:B41"/>
    <mergeCell ref="B43:B44"/>
    <mergeCell ref="O49:O53"/>
    <mergeCell ref="B54:B56"/>
    <mergeCell ref="B57:B61"/>
    <mergeCell ref="B62:B65"/>
    <mergeCell ref="B67:B68"/>
    <mergeCell ref="C227:D227"/>
    <mergeCell ref="H227:J227"/>
    <mergeCell ref="R227:T227"/>
    <mergeCell ref="P228:R228"/>
    <mergeCell ref="T228:V228"/>
    <mergeCell ref="Y228:AA228"/>
    <mergeCell ref="C229:E229"/>
    <mergeCell ref="L229:N229"/>
    <mergeCell ref="AD229:AF229"/>
    <mergeCell ref="F230:H230"/>
    <mergeCell ref="K230:M230"/>
    <mergeCell ref="O230:Q230"/>
    <mergeCell ref="O226:Q226"/>
    <mergeCell ref="U226:W226"/>
    <mergeCell ref="X226:Z226"/>
    <mergeCell ref="E220:G220"/>
    <mergeCell ref="I220:K220"/>
    <mergeCell ref="L220:M220"/>
    <mergeCell ref="P220:R220"/>
    <mergeCell ref="S220:T220"/>
    <mergeCell ref="U220:W220"/>
    <mergeCell ref="X220:Z220"/>
    <mergeCell ref="AB220:AD220"/>
    <mergeCell ref="C221:D221"/>
    <mergeCell ref="E221:G221"/>
    <mergeCell ref="I221:K221"/>
    <mergeCell ref="L221:M221"/>
    <mergeCell ref="N221:P221"/>
    <mergeCell ref="R221:T221"/>
    <mergeCell ref="U221:V221"/>
    <mergeCell ref="W221:Y221"/>
    <mergeCell ref="Z221:AA221"/>
    <mergeCell ref="AB221:AE221"/>
    <mergeCell ref="C218:E218"/>
    <mergeCell ref="F218:G218"/>
    <mergeCell ref="H218:J218"/>
    <mergeCell ref="L218:N218"/>
    <mergeCell ref="O218:P218"/>
    <mergeCell ref="Q218:S218"/>
    <mergeCell ref="U218:W218"/>
    <mergeCell ref="Z218:AB218"/>
    <mergeCell ref="AD218:AF218"/>
    <mergeCell ref="C219:D219"/>
    <mergeCell ref="E219:H219"/>
    <mergeCell ref="I219:K219"/>
    <mergeCell ref="L219:O219"/>
    <mergeCell ref="P219:Q219"/>
    <mergeCell ref="R219:S219"/>
    <mergeCell ref="T219:W219"/>
    <mergeCell ref="X219:Z219"/>
    <mergeCell ref="AB219:AC219"/>
    <mergeCell ref="AD219:AF219"/>
    <mergeCell ref="E215:G215"/>
    <mergeCell ref="I215:K215"/>
    <mergeCell ref="L215:M215"/>
    <mergeCell ref="O215:Q215"/>
    <mergeCell ref="R215:T215"/>
    <mergeCell ref="U215:W215"/>
    <mergeCell ref="X215:Z215"/>
    <mergeCell ref="AC215:AE215"/>
    <mergeCell ref="C217:D217"/>
    <mergeCell ref="E217:G217"/>
    <mergeCell ref="I217:K217"/>
    <mergeCell ref="L217:M217"/>
    <mergeCell ref="N217:P217"/>
    <mergeCell ref="R217:T217"/>
    <mergeCell ref="U217:V217"/>
    <mergeCell ref="W217:Y217"/>
    <mergeCell ref="Z217:AA217"/>
    <mergeCell ref="AB217:AE217"/>
    <mergeCell ref="E212:G212"/>
    <mergeCell ref="L212:M212"/>
    <mergeCell ref="Q212:S212"/>
    <mergeCell ref="U212:W212"/>
    <mergeCell ref="C213:D213"/>
    <mergeCell ref="I213:K213"/>
    <mergeCell ref="N213:P213"/>
    <mergeCell ref="R213:T213"/>
    <mergeCell ref="X213:Y213"/>
    <mergeCell ref="Z213:AA213"/>
    <mergeCell ref="AB213:AE213"/>
    <mergeCell ref="C214:D214"/>
    <mergeCell ref="E214:H214"/>
    <mergeCell ref="I214:K214"/>
    <mergeCell ref="L214:O214"/>
    <mergeCell ref="Q214:S214"/>
    <mergeCell ref="T214:W214"/>
    <mergeCell ref="Y214:AA214"/>
    <mergeCell ref="AB214:AD214"/>
    <mergeCell ref="AE214:AF214"/>
    <mergeCell ref="F209:H209"/>
    <mergeCell ref="I209:K209"/>
    <mergeCell ref="O209:Q209"/>
    <mergeCell ref="R209:T209"/>
    <mergeCell ref="Y209:AA209"/>
    <mergeCell ref="C210:E210"/>
    <mergeCell ref="H210:J210"/>
    <mergeCell ref="L210:N210"/>
    <mergeCell ref="Q210:S210"/>
    <mergeCell ref="U210:W210"/>
    <mergeCell ref="Z210:AB210"/>
    <mergeCell ref="C211:D211"/>
    <mergeCell ref="E211:H211"/>
    <mergeCell ref="I211:K211"/>
    <mergeCell ref="L211:O211"/>
    <mergeCell ref="P211:Q211"/>
    <mergeCell ref="T211:W211"/>
    <mergeCell ref="X211:Z211"/>
    <mergeCell ref="AB211:AD211"/>
    <mergeCell ref="E204:G204"/>
    <mergeCell ref="K204:M204"/>
    <mergeCell ref="O204:Q204"/>
    <mergeCell ref="U204:W204"/>
    <mergeCell ref="Y204:AA204"/>
    <mergeCell ref="AB204:AD204"/>
    <mergeCell ref="C205:D205"/>
    <mergeCell ref="I205:K205"/>
    <mergeCell ref="L205:N205"/>
    <mergeCell ref="Q205:S205"/>
    <mergeCell ref="AC205:AE205"/>
    <mergeCell ref="P206:R206"/>
    <mergeCell ref="X206:Z206"/>
    <mergeCell ref="R207:T207"/>
    <mergeCell ref="C208:D208"/>
    <mergeCell ref="E208:G208"/>
    <mergeCell ref="K208:M208"/>
    <mergeCell ref="N208:P208"/>
    <mergeCell ref="T208:V208"/>
    <mergeCell ref="W208:Y208"/>
    <mergeCell ref="AB208:AE208"/>
    <mergeCell ref="V194:X194"/>
    <mergeCell ref="Y194:AA194"/>
    <mergeCell ref="F195:H195"/>
    <mergeCell ref="M195:R195"/>
    <mergeCell ref="T195:V195"/>
    <mergeCell ref="Y195:AA195"/>
    <mergeCell ref="AB195:AD195"/>
    <mergeCell ref="V196:X196"/>
    <mergeCell ref="C197:D197"/>
    <mergeCell ref="I197:K197"/>
    <mergeCell ref="M197:O197"/>
    <mergeCell ref="AD197:AF197"/>
    <mergeCell ref="D202:F202"/>
    <mergeCell ref="J202:L202"/>
    <mergeCell ref="AC202:AE202"/>
    <mergeCell ref="C203:D203"/>
    <mergeCell ref="E203:H203"/>
    <mergeCell ref="I203:K203"/>
    <mergeCell ref="L203:O203"/>
    <mergeCell ref="T203:W203"/>
    <mergeCell ref="X203:Z203"/>
    <mergeCell ref="AD203:AF203"/>
    <mergeCell ref="C189:F189"/>
    <mergeCell ref="U189:W189"/>
    <mergeCell ref="X189:AA189"/>
    <mergeCell ref="AF189:AG189"/>
    <mergeCell ref="R190:T190"/>
    <mergeCell ref="F191:H191"/>
    <mergeCell ref="S191:U191"/>
    <mergeCell ref="V191:X191"/>
    <mergeCell ref="Z191:AB191"/>
    <mergeCell ref="G192:I192"/>
    <mergeCell ref="L192:N192"/>
    <mergeCell ref="AA192:AC192"/>
    <mergeCell ref="AE192:AG192"/>
    <mergeCell ref="H193:K193"/>
    <mergeCell ref="P193:R193"/>
    <mergeCell ref="S193:U193"/>
    <mergeCell ref="AB193:AD193"/>
    <mergeCell ref="F183:H183"/>
    <mergeCell ref="I183:J183"/>
    <mergeCell ref="K183:M183"/>
    <mergeCell ref="R183:T183"/>
    <mergeCell ref="V183:X183"/>
    <mergeCell ref="AA183:AC183"/>
    <mergeCell ref="AE183:AG183"/>
    <mergeCell ref="C185:D185"/>
    <mergeCell ref="H186:J186"/>
    <mergeCell ref="E187:G187"/>
    <mergeCell ref="J187:L187"/>
    <mergeCell ref="M187:O187"/>
    <mergeCell ref="P187:R187"/>
    <mergeCell ref="W187:Y187"/>
    <mergeCell ref="AC187:AF187"/>
    <mergeCell ref="K188:M188"/>
    <mergeCell ref="S188:U188"/>
    <mergeCell ref="C181:D181"/>
    <mergeCell ref="F181:H181"/>
    <mergeCell ref="J181:L181"/>
    <mergeCell ref="M181:O181"/>
    <mergeCell ref="P181:R181"/>
    <mergeCell ref="T181:V181"/>
    <mergeCell ref="W181:Y181"/>
    <mergeCell ref="Z181:AA181"/>
    <mergeCell ref="AB181:AD181"/>
    <mergeCell ref="AF181:AG181"/>
    <mergeCell ref="C182:D182"/>
    <mergeCell ref="E182:G182"/>
    <mergeCell ref="I182:K182"/>
    <mergeCell ref="M182:R182"/>
    <mergeCell ref="S182:U182"/>
    <mergeCell ref="V182:W182"/>
    <mergeCell ref="X182:AA182"/>
    <mergeCell ref="AB182:AD182"/>
    <mergeCell ref="AE182:AF182"/>
    <mergeCell ref="E178:G178"/>
    <mergeCell ref="I178:K178"/>
    <mergeCell ref="M178:R178"/>
    <mergeCell ref="S178:U178"/>
    <mergeCell ref="V178:W178"/>
    <mergeCell ref="X178:AA178"/>
    <mergeCell ref="AB178:AD178"/>
    <mergeCell ref="AE178:AF178"/>
    <mergeCell ref="F179:G179"/>
    <mergeCell ref="H179:J179"/>
    <mergeCell ref="K179:M179"/>
    <mergeCell ref="R179:T179"/>
    <mergeCell ref="V179:X179"/>
    <mergeCell ref="AA179:AC179"/>
    <mergeCell ref="AE179:AG179"/>
    <mergeCell ref="C180:F180"/>
    <mergeCell ref="H180:K180"/>
    <mergeCell ref="M180:O180"/>
    <mergeCell ref="P180:R180"/>
    <mergeCell ref="S180:U180"/>
    <mergeCell ref="V180:X180"/>
    <mergeCell ref="Y180:AA180"/>
    <mergeCell ref="AC180:AF180"/>
    <mergeCell ref="C176:F176"/>
    <mergeCell ref="H176:K176"/>
    <mergeCell ref="M176:O176"/>
    <mergeCell ref="P176:R176"/>
    <mergeCell ref="T176:V176"/>
    <mergeCell ref="W176:Y176"/>
    <mergeCell ref="Z176:AA176"/>
    <mergeCell ref="AC176:AF176"/>
    <mergeCell ref="C177:D177"/>
    <mergeCell ref="F177:H177"/>
    <mergeCell ref="J177:L177"/>
    <mergeCell ref="M177:O177"/>
    <mergeCell ref="P177:R177"/>
    <mergeCell ref="S177:U177"/>
    <mergeCell ref="V177:X177"/>
    <mergeCell ref="Z177:AB177"/>
    <mergeCell ref="AC177:AD177"/>
    <mergeCell ref="AF177:AG177"/>
    <mergeCell ref="C173:F173"/>
    <mergeCell ref="H173:K173"/>
    <mergeCell ref="M173:O173"/>
    <mergeCell ref="P173:R173"/>
    <mergeCell ref="S173:U173"/>
    <mergeCell ref="V173:X173"/>
    <mergeCell ref="Y173:AA173"/>
    <mergeCell ref="AC173:AF173"/>
    <mergeCell ref="G174:H174"/>
    <mergeCell ref="E175:G175"/>
    <mergeCell ref="I175:K175"/>
    <mergeCell ref="M175:R175"/>
    <mergeCell ref="S175:U175"/>
    <mergeCell ref="V175:W175"/>
    <mergeCell ref="X175:AA175"/>
    <mergeCell ref="AB175:AD175"/>
    <mergeCell ref="AE175:AF175"/>
    <mergeCell ref="G166:I166"/>
    <mergeCell ref="L166:N166"/>
    <mergeCell ref="S166:U166"/>
    <mergeCell ref="V166:X166"/>
    <mergeCell ref="Y166:AA166"/>
    <mergeCell ref="C170:D170"/>
    <mergeCell ref="E170:G170"/>
    <mergeCell ref="I170:K170"/>
    <mergeCell ref="M170:R170"/>
    <mergeCell ref="S170:U170"/>
    <mergeCell ref="X170:AA170"/>
    <mergeCell ref="AB170:AD170"/>
    <mergeCell ref="F171:H171"/>
    <mergeCell ref="U171:W171"/>
    <mergeCell ref="AD171:AF171"/>
    <mergeCell ref="H172:J172"/>
    <mergeCell ref="R172:T172"/>
    <mergeCell ref="V172:X172"/>
    <mergeCell ref="AA172:AC172"/>
    <mergeCell ref="AE172:AG172"/>
    <mergeCell ref="M157:O157"/>
    <mergeCell ref="O158:Q158"/>
    <mergeCell ref="I159:K159"/>
    <mergeCell ref="Z159:AB159"/>
    <mergeCell ref="E163:G163"/>
    <mergeCell ref="V163:X163"/>
    <mergeCell ref="AB163:AD163"/>
    <mergeCell ref="C164:F164"/>
    <mergeCell ref="H164:K164"/>
    <mergeCell ref="M164:O164"/>
    <mergeCell ref="P164:R164"/>
    <mergeCell ref="T164:V164"/>
    <mergeCell ref="W164:Y164"/>
    <mergeCell ref="Z164:AB164"/>
    <mergeCell ref="AC164:AF164"/>
    <mergeCell ref="C165:D165"/>
    <mergeCell ref="F165:H165"/>
    <mergeCell ref="J165:L165"/>
    <mergeCell ref="M165:O165"/>
    <mergeCell ref="P165:R165"/>
    <mergeCell ref="S165:U165"/>
    <mergeCell ref="V165:X165"/>
    <mergeCell ref="Y165:AA165"/>
    <mergeCell ref="AB165:AD165"/>
    <mergeCell ref="AF165:AG165"/>
    <mergeCell ref="AD151:AF151"/>
    <mergeCell ref="G152:I152"/>
    <mergeCell ref="J152:L152"/>
    <mergeCell ref="M152:O152"/>
    <mergeCell ref="R152:T152"/>
    <mergeCell ref="W152:Y152"/>
    <mergeCell ref="AA152:AD152"/>
    <mergeCell ref="W153:Y153"/>
    <mergeCell ref="AF153:AG153"/>
    <mergeCell ref="G154:I154"/>
    <mergeCell ref="V154:X154"/>
    <mergeCell ref="AA154:AC154"/>
    <mergeCell ref="AE154:AG154"/>
    <mergeCell ref="O155:Q155"/>
    <mergeCell ref="Z155:AB155"/>
    <mergeCell ref="D156:G156"/>
    <mergeCell ref="I156:K156"/>
    <mergeCell ref="P156:R156"/>
    <mergeCell ref="S156:V156"/>
    <mergeCell ref="X156:Z156"/>
    <mergeCell ref="AC156:AE156"/>
    <mergeCell ref="E146:G146"/>
    <mergeCell ref="J146:L146"/>
    <mergeCell ref="P146:R146"/>
    <mergeCell ref="Y146:AA146"/>
    <mergeCell ref="C148:E148"/>
    <mergeCell ref="L148:N148"/>
    <mergeCell ref="O148:Q148"/>
    <mergeCell ref="S148:U148"/>
    <mergeCell ref="X148:Z148"/>
    <mergeCell ref="AC148:AE148"/>
    <mergeCell ref="AF148:AG148"/>
    <mergeCell ref="D149:F149"/>
    <mergeCell ref="H149:J149"/>
    <mergeCell ref="R149:T149"/>
    <mergeCell ref="C150:D150"/>
    <mergeCell ref="L150:N150"/>
    <mergeCell ref="T150:V150"/>
    <mergeCell ref="C142:E142"/>
    <mergeCell ref="J142:L142"/>
    <mergeCell ref="M142:O142"/>
    <mergeCell ref="P142:R142"/>
    <mergeCell ref="W142:Y142"/>
    <mergeCell ref="Z142:AA142"/>
    <mergeCell ref="AC142:AE142"/>
    <mergeCell ref="E143:G143"/>
    <mergeCell ref="J143:L143"/>
    <mergeCell ref="M143:N143"/>
    <mergeCell ref="P143:R143"/>
    <mergeCell ref="S143:V143"/>
    <mergeCell ref="X143:Z143"/>
    <mergeCell ref="AA143:AC143"/>
    <mergeCell ref="AD143:AE143"/>
    <mergeCell ref="AF143:AG143"/>
    <mergeCell ref="D144:F144"/>
    <mergeCell ref="I144:K144"/>
    <mergeCell ref="M144:O144"/>
    <mergeCell ref="P144:Q144"/>
    <mergeCell ref="R144:T144"/>
    <mergeCell ref="W144:Y144"/>
    <mergeCell ref="Z144:AB144"/>
    <mergeCell ref="AD144:AF144"/>
    <mergeCell ref="AF139:AG139"/>
    <mergeCell ref="D140:F140"/>
    <mergeCell ref="I140:K140"/>
    <mergeCell ref="M140:O140"/>
    <mergeCell ref="P140:Q140"/>
    <mergeCell ref="R140:T140"/>
    <mergeCell ref="W140:Y140"/>
    <mergeCell ref="Z140:AB140"/>
    <mergeCell ref="AD140:AF140"/>
    <mergeCell ref="D141:G141"/>
    <mergeCell ref="I141:K141"/>
    <mergeCell ref="L141:N141"/>
    <mergeCell ref="O141:Q141"/>
    <mergeCell ref="R141:T141"/>
    <mergeCell ref="V141:X141"/>
    <mergeCell ref="Y141:Z141"/>
    <mergeCell ref="AA141:AD141"/>
    <mergeCell ref="AE141:AG141"/>
    <mergeCell ref="C137:E137"/>
    <mergeCell ref="G137:I137"/>
    <mergeCell ref="J137:L137"/>
    <mergeCell ref="M137:N137"/>
    <mergeCell ref="O137:Q137"/>
    <mergeCell ref="S137:U137"/>
    <mergeCell ref="V137:X137"/>
    <mergeCell ref="Y137:AA137"/>
    <mergeCell ref="AC137:AE137"/>
    <mergeCell ref="C139:D139"/>
    <mergeCell ref="E139:G139"/>
    <mergeCell ref="H139:I139"/>
    <mergeCell ref="J139:L139"/>
    <mergeCell ref="M139:N139"/>
    <mergeCell ref="O139:Q139"/>
    <mergeCell ref="S139:V139"/>
    <mergeCell ref="X139:Z139"/>
    <mergeCell ref="AA139:AB139"/>
    <mergeCell ref="AC139:AE139"/>
    <mergeCell ref="F135:G135"/>
    <mergeCell ref="H135:I135"/>
    <mergeCell ref="O135:Q135"/>
    <mergeCell ref="S135:V135"/>
    <mergeCell ref="X135:Z135"/>
    <mergeCell ref="AA135:AC135"/>
    <mergeCell ref="AD135:AE135"/>
    <mergeCell ref="AF135:AG135"/>
    <mergeCell ref="D136:G136"/>
    <mergeCell ref="I136:K136"/>
    <mergeCell ref="L136:N136"/>
    <mergeCell ref="P136:R136"/>
    <mergeCell ref="S136:T136"/>
    <mergeCell ref="U136:V136"/>
    <mergeCell ref="X136:Z136"/>
    <mergeCell ref="AA136:AD136"/>
    <mergeCell ref="AE136:AG136"/>
    <mergeCell ref="D132:F132"/>
    <mergeCell ref="I132:K132"/>
    <mergeCell ref="M132:O132"/>
    <mergeCell ref="R132:T132"/>
    <mergeCell ref="Z132:AB132"/>
    <mergeCell ref="AD132:AF132"/>
    <mergeCell ref="D133:G133"/>
    <mergeCell ref="H133:I133"/>
    <mergeCell ref="J133:K133"/>
    <mergeCell ref="L133:N133"/>
    <mergeCell ref="P133:R133"/>
    <mergeCell ref="U133:V133"/>
    <mergeCell ref="X133:Z133"/>
    <mergeCell ref="AA133:AD133"/>
    <mergeCell ref="AE133:AG133"/>
    <mergeCell ref="C134:E134"/>
    <mergeCell ref="J134:L134"/>
    <mergeCell ref="M134:O134"/>
    <mergeCell ref="R134:T134"/>
    <mergeCell ref="O126:Q126"/>
    <mergeCell ref="W126:Y126"/>
    <mergeCell ref="H127:J127"/>
    <mergeCell ref="O127:Q127"/>
    <mergeCell ref="S127:U127"/>
    <mergeCell ref="Z127:AB127"/>
    <mergeCell ref="AF127:AG127"/>
    <mergeCell ref="C130:D130"/>
    <mergeCell ref="E130:G130"/>
    <mergeCell ref="J130:L130"/>
    <mergeCell ref="P130:R130"/>
    <mergeCell ref="S130:V130"/>
    <mergeCell ref="X130:Z130"/>
    <mergeCell ref="AC130:AE130"/>
    <mergeCell ref="AF130:AG130"/>
    <mergeCell ref="G131:I131"/>
    <mergeCell ref="L131:N131"/>
    <mergeCell ref="O131:Q131"/>
    <mergeCell ref="AA131:AC131"/>
    <mergeCell ref="T119:V119"/>
    <mergeCell ref="I123:K123"/>
    <mergeCell ref="P123:R123"/>
    <mergeCell ref="X123:Z123"/>
    <mergeCell ref="AC123:AE123"/>
    <mergeCell ref="D124:G124"/>
    <mergeCell ref="I124:K124"/>
    <mergeCell ref="L124:N124"/>
    <mergeCell ref="P124:R124"/>
    <mergeCell ref="T124:V124"/>
    <mergeCell ref="X124:Z124"/>
    <mergeCell ref="AA124:AD124"/>
    <mergeCell ref="AE124:AG124"/>
    <mergeCell ref="C125:E125"/>
    <mergeCell ref="G125:I125"/>
    <mergeCell ref="J125:L125"/>
    <mergeCell ref="M125:O125"/>
    <mergeCell ref="R125:T125"/>
    <mergeCell ref="V125:X125"/>
    <mergeCell ref="Y125:AA125"/>
    <mergeCell ref="AC125:AE125"/>
    <mergeCell ref="L111:N111"/>
    <mergeCell ref="C112:E112"/>
    <mergeCell ref="I112:K112"/>
    <mergeCell ref="M112:P112"/>
    <mergeCell ref="AA112:AC112"/>
    <mergeCell ref="R113:T113"/>
    <mergeCell ref="R114:W114"/>
    <mergeCell ref="Y114:AA114"/>
    <mergeCell ref="C115:E115"/>
    <mergeCell ref="O115:Q115"/>
    <mergeCell ref="E116:G116"/>
    <mergeCell ref="M116:P116"/>
    <mergeCell ref="AE116:AF116"/>
    <mergeCell ref="J117:L117"/>
    <mergeCell ref="F118:I118"/>
    <mergeCell ref="Q118:S118"/>
    <mergeCell ref="X118:Z118"/>
    <mergeCell ref="AB118:AD118"/>
    <mergeCell ref="AE118:AF118"/>
    <mergeCell ref="D106:F106"/>
    <mergeCell ref="J106:L106"/>
    <mergeCell ref="V106:X106"/>
    <mergeCell ref="G107:I107"/>
    <mergeCell ref="P107:R107"/>
    <mergeCell ref="C108:D108"/>
    <mergeCell ref="F108:H108"/>
    <mergeCell ref="K108:M108"/>
    <mergeCell ref="S108:U108"/>
    <mergeCell ref="X108:Z108"/>
    <mergeCell ref="AC108:AF108"/>
    <mergeCell ref="L109:N109"/>
    <mergeCell ref="Y109:AA109"/>
    <mergeCell ref="C110:D110"/>
    <mergeCell ref="I110:K110"/>
    <mergeCell ref="O110:Q110"/>
    <mergeCell ref="U110:W110"/>
    <mergeCell ref="X110:Z110"/>
    <mergeCell ref="AA110:AC110"/>
    <mergeCell ref="C103:D103"/>
    <mergeCell ref="F103:H103"/>
    <mergeCell ref="I103:K103"/>
    <mergeCell ref="M103:P103"/>
    <mergeCell ref="Q103:S103"/>
    <mergeCell ref="T103:U103"/>
    <mergeCell ref="V103:X103"/>
    <mergeCell ref="Y103:Z103"/>
    <mergeCell ref="AA103:AC103"/>
    <mergeCell ref="AE103:AF103"/>
    <mergeCell ref="D104:F104"/>
    <mergeCell ref="G104:I104"/>
    <mergeCell ref="J104:K104"/>
    <mergeCell ref="L104:N104"/>
    <mergeCell ref="P104:R104"/>
    <mergeCell ref="T104:V104"/>
    <mergeCell ref="Y104:AA104"/>
    <mergeCell ref="AB104:AD104"/>
    <mergeCell ref="D100:F100"/>
    <mergeCell ref="G100:I100"/>
    <mergeCell ref="J100:K100"/>
    <mergeCell ref="L100:N100"/>
    <mergeCell ref="P100:R100"/>
    <mergeCell ref="T100:V100"/>
    <mergeCell ref="Y100:AA100"/>
    <mergeCell ref="AB100:AC100"/>
    <mergeCell ref="C101:D101"/>
    <mergeCell ref="F101:I101"/>
    <mergeCell ref="J101:K101"/>
    <mergeCell ref="M101:P101"/>
    <mergeCell ref="R101:W101"/>
    <mergeCell ref="X101:Z101"/>
    <mergeCell ref="AC101:AF101"/>
    <mergeCell ref="C102:D102"/>
    <mergeCell ref="E102:G102"/>
    <mergeCell ref="J102:L102"/>
    <mergeCell ref="O102:P102"/>
    <mergeCell ref="R102:T102"/>
    <mergeCell ref="U102:W102"/>
    <mergeCell ref="Y102:Z102"/>
    <mergeCell ref="AA102:AC102"/>
    <mergeCell ref="AE102:AF102"/>
    <mergeCell ref="C96:D96"/>
    <mergeCell ref="F96:I96"/>
    <mergeCell ref="J96:K96"/>
    <mergeCell ref="M96:P96"/>
    <mergeCell ref="R96:W96"/>
    <mergeCell ref="X96:Z96"/>
    <mergeCell ref="AA96:AB96"/>
    <mergeCell ref="AC96:AF96"/>
    <mergeCell ref="C97:E97"/>
    <mergeCell ref="F97:G97"/>
    <mergeCell ref="K97:M97"/>
    <mergeCell ref="O97:P97"/>
    <mergeCell ref="R97:T97"/>
    <mergeCell ref="U97:W97"/>
    <mergeCell ref="Y97:AA97"/>
    <mergeCell ref="AE97:AF97"/>
    <mergeCell ref="C99:D99"/>
    <mergeCell ref="F99:H99"/>
    <mergeCell ref="I99:K99"/>
    <mergeCell ref="M99:P99"/>
    <mergeCell ref="Q99:S99"/>
    <mergeCell ref="T99:U99"/>
    <mergeCell ref="V99:X99"/>
    <mergeCell ref="Y99:Z99"/>
    <mergeCell ref="AA99:AC99"/>
    <mergeCell ref="AE99:AF99"/>
    <mergeCell ref="G92:I92"/>
    <mergeCell ref="T92:V92"/>
    <mergeCell ref="Y92:AA92"/>
    <mergeCell ref="C93:D93"/>
    <mergeCell ref="F93:I93"/>
    <mergeCell ref="M93:P93"/>
    <mergeCell ref="R93:W93"/>
    <mergeCell ref="X93:Z93"/>
    <mergeCell ref="AC93:AF93"/>
    <mergeCell ref="I94:K94"/>
    <mergeCell ref="V94:W94"/>
    <mergeCell ref="AE94:AF94"/>
    <mergeCell ref="C95:D95"/>
    <mergeCell ref="E95:F95"/>
    <mergeCell ref="G95:H95"/>
    <mergeCell ref="J95:K95"/>
    <mergeCell ref="M95:P95"/>
    <mergeCell ref="Q95:S95"/>
    <mergeCell ref="T95:U95"/>
    <mergeCell ref="X95:Z95"/>
    <mergeCell ref="AC95:AD95"/>
    <mergeCell ref="E87:G87"/>
    <mergeCell ref="C88:E88"/>
    <mergeCell ref="O88:Q88"/>
    <mergeCell ref="R88:T88"/>
    <mergeCell ref="X88:Z88"/>
    <mergeCell ref="C90:D90"/>
    <mergeCell ref="F90:H90"/>
    <mergeCell ref="M90:P90"/>
    <mergeCell ref="Q90:S90"/>
    <mergeCell ref="X90:Z90"/>
    <mergeCell ref="AA90:AC90"/>
    <mergeCell ref="AE90:AF90"/>
    <mergeCell ref="D91:F91"/>
    <mergeCell ref="I91:K91"/>
    <mergeCell ref="S91:U91"/>
    <mergeCell ref="V91:X91"/>
    <mergeCell ref="AB91:AD91"/>
    <mergeCell ref="I79:K79"/>
    <mergeCell ref="Y79:Z79"/>
    <mergeCell ref="AA79:AC79"/>
    <mergeCell ref="S80:U80"/>
    <mergeCell ref="AE80:AG80"/>
    <mergeCell ref="M84:P84"/>
    <mergeCell ref="AD84:AF84"/>
    <mergeCell ref="C85:D85"/>
    <mergeCell ref="F85:I85"/>
    <mergeCell ref="M85:P85"/>
    <mergeCell ref="R85:W85"/>
    <mergeCell ref="Y85:AA85"/>
    <mergeCell ref="AC85:AF85"/>
    <mergeCell ref="C86:E86"/>
    <mergeCell ref="I86:K86"/>
    <mergeCell ref="O86:Q86"/>
    <mergeCell ref="U86:W86"/>
    <mergeCell ref="X86:Z86"/>
    <mergeCell ref="AA86:AC86"/>
    <mergeCell ref="AE86:AF86"/>
    <mergeCell ref="X72:Z72"/>
    <mergeCell ref="F73:H73"/>
    <mergeCell ref="K73:N73"/>
    <mergeCell ref="V73:X73"/>
    <mergeCell ref="AA73:AC73"/>
    <mergeCell ref="C74:D74"/>
    <mergeCell ref="C75:E75"/>
    <mergeCell ref="F75:H75"/>
    <mergeCell ref="S75:U75"/>
    <mergeCell ref="M76:O76"/>
    <mergeCell ref="V76:X76"/>
    <mergeCell ref="H77:J77"/>
    <mergeCell ref="O77:Q77"/>
    <mergeCell ref="V77:X77"/>
    <mergeCell ref="AD77:AF77"/>
    <mergeCell ref="J78:L78"/>
    <mergeCell ref="T78:V78"/>
    <mergeCell ref="C67:D67"/>
    <mergeCell ref="P67:S67"/>
    <mergeCell ref="U67:W67"/>
    <mergeCell ref="Y67:AA67"/>
    <mergeCell ref="I68:K68"/>
    <mergeCell ref="AF68:AG68"/>
    <mergeCell ref="J69:L69"/>
    <mergeCell ref="T69:V69"/>
    <mergeCell ref="W69:Y69"/>
    <mergeCell ref="AC69:AE69"/>
    <mergeCell ref="AF69:AG69"/>
    <mergeCell ref="E70:G70"/>
    <mergeCell ref="M70:O70"/>
    <mergeCell ref="Q70:S70"/>
    <mergeCell ref="AB70:AD70"/>
    <mergeCell ref="C71:H71"/>
    <mergeCell ref="M71:O71"/>
    <mergeCell ref="Q71:S71"/>
    <mergeCell ref="Z71:AB71"/>
    <mergeCell ref="AD71:AF71"/>
    <mergeCell ref="C64:E64"/>
    <mergeCell ref="F64:H64"/>
    <mergeCell ref="I64:J64"/>
    <mergeCell ref="K64:N64"/>
    <mergeCell ref="P64:S64"/>
    <mergeCell ref="T64:V64"/>
    <mergeCell ref="Y64:AA64"/>
    <mergeCell ref="AB64:AC64"/>
    <mergeCell ref="AD64:AF64"/>
    <mergeCell ref="C65:D65"/>
    <mergeCell ref="E65:G65"/>
    <mergeCell ref="I65:K65"/>
    <mergeCell ref="M65:O65"/>
    <mergeCell ref="S65:U65"/>
    <mergeCell ref="V65:W65"/>
    <mergeCell ref="X65:Z65"/>
    <mergeCell ref="AB65:AD65"/>
    <mergeCell ref="AF65:AG65"/>
    <mergeCell ref="C62:H62"/>
    <mergeCell ref="I62:K62"/>
    <mergeCell ref="M62:O62"/>
    <mergeCell ref="P62:Q62"/>
    <mergeCell ref="S62:U62"/>
    <mergeCell ref="V62:X62"/>
    <mergeCell ref="Y62:Z62"/>
    <mergeCell ref="AA62:AC62"/>
    <mergeCell ref="AD62:AE62"/>
    <mergeCell ref="AF62:AG62"/>
    <mergeCell ref="C63:D63"/>
    <mergeCell ref="F63:H63"/>
    <mergeCell ref="J63:K63"/>
    <mergeCell ref="M63:O63"/>
    <mergeCell ref="Q63:S63"/>
    <mergeCell ref="T63:V63"/>
    <mergeCell ref="W63:Y63"/>
    <mergeCell ref="Z63:AB63"/>
    <mergeCell ref="AD63:AF63"/>
    <mergeCell ref="C60:D60"/>
    <mergeCell ref="F60:H60"/>
    <mergeCell ref="I60:J60"/>
    <mergeCell ref="K60:N60"/>
    <mergeCell ref="P60:S60"/>
    <mergeCell ref="T60:V60"/>
    <mergeCell ref="W60:X60"/>
    <mergeCell ref="Y60:AA60"/>
    <mergeCell ref="AB60:AC60"/>
    <mergeCell ref="AD60:AF60"/>
    <mergeCell ref="C61:D61"/>
    <mergeCell ref="E61:G61"/>
    <mergeCell ref="I61:K61"/>
    <mergeCell ref="M61:O61"/>
    <mergeCell ref="S61:U61"/>
    <mergeCell ref="X61:Z61"/>
    <mergeCell ref="AB61:AD61"/>
    <mergeCell ref="AF61:AG61"/>
    <mergeCell ref="C57:H57"/>
    <mergeCell ref="J57:L57"/>
    <mergeCell ref="M57:O57"/>
    <mergeCell ref="P57:Q57"/>
    <mergeCell ref="S57:U57"/>
    <mergeCell ref="V57:X57"/>
    <mergeCell ref="Y57:Z57"/>
    <mergeCell ref="AA57:AC57"/>
    <mergeCell ref="AD57:AE57"/>
    <mergeCell ref="AF57:AG57"/>
    <mergeCell ref="C58:D58"/>
    <mergeCell ref="F58:H58"/>
    <mergeCell ref="I58:K58"/>
    <mergeCell ref="M58:O58"/>
    <mergeCell ref="Q58:S58"/>
    <mergeCell ref="T58:V58"/>
    <mergeCell ref="W58:Y58"/>
    <mergeCell ref="Z58:AB58"/>
    <mergeCell ref="AC58:AE58"/>
    <mergeCell ref="C54:H54"/>
    <mergeCell ref="I54:K54"/>
    <mergeCell ref="M54:O54"/>
    <mergeCell ref="R54:S54"/>
    <mergeCell ref="T54:U54"/>
    <mergeCell ref="V54:X54"/>
    <mergeCell ref="Y54:Z54"/>
    <mergeCell ref="AA54:AC54"/>
    <mergeCell ref="AD54:AE54"/>
    <mergeCell ref="AF54:AG54"/>
    <mergeCell ref="F55:H55"/>
    <mergeCell ref="O55:Q55"/>
    <mergeCell ref="W55:Y55"/>
    <mergeCell ref="AD55:AF55"/>
    <mergeCell ref="C56:D56"/>
    <mergeCell ref="I56:J56"/>
    <mergeCell ref="K56:N56"/>
    <mergeCell ref="P56:S56"/>
    <mergeCell ref="T56:V56"/>
    <mergeCell ref="Z56:AA56"/>
    <mergeCell ref="AB56:AC56"/>
    <mergeCell ref="C48:D48"/>
    <mergeCell ref="J48:L48"/>
    <mergeCell ref="M48:O48"/>
    <mergeCell ref="Q48:S48"/>
    <mergeCell ref="Z48:AB48"/>
    <mergeCell ref="AE48:AG48"/>
    <mergeCell ref="F51:H51"/>
    <mergeCell ref="K51:N51"/>
    <mergeCell ref="P51:S51"/>
    <mergeCell ref="Y51:AA51"/>
    <mergeCell ref="AD51:AF51"/>
    <mergeCell ref="C52:E52"/>
    <mergeCell ref="H52:J52"/>
    <mergeCell ref="AA52:AC52"/>
    <mergeCell ref="E53:G53"/>
    <mergeCell ref="I53:K53"/>
    <mergeCell ref="AB53:AD53"/>
    <mergeCell ref="AF53:AG53"/>
    <mergeCell ref="I40:K40"/>
    <mergeCell ref="L40:N40"/>
    <mergeCell ref="T40:W40"/>
    <mergeCell ref="AB40:AD40"/>
    <mergeCell ref="AA45:AC45"/>
    <mergeCell ref="C46:H46"/>
    <mergeCell ref="I46:K46"/>
    <mergeCell ref="O46:Q46"/>
    <mergeCell ref="Y46:Z46"/>
    <mergeCell ref="AC46:AE46"/>
    <mergeCell ref="AF46:AG46"/>
    <mergeCell ref="F47:H47"/>
    <mergeCell ref="J47:L47"/>
    <mergeCell ref="M47:O47"/>
    <mergeCell ref="Q47:S47"/>
    <mergeCell ref="AA47:AC47"/>
    <mergeCell ref="AD47:AF47"/>
    <mergeCell ref="H34:J34"/>
    <mergeCell ref="N34:P34"/>
    <mergeCell ref="Q34:S34"/>
    <mergeCell ref="Y34:AB34"/>
    <mergeCell ref="AC34:AE34"/>
    <mergeCell ref="C35:E35"/>
    <mergeCell ref="F35:H35"/>
    <mergeCell ref="C36:E36"/>
    <mergeCell ref="J36:L36"/>
    <mergeCell ref="O37:Q37"/>
    <mergeCell ref="T37:V37"/>
    <mergeCell ref="D38:F38"/>
    <mergeCell ref="G38:I38"/>
    <mergeCell ref="V38:X38"/>
    <mergeCell ref="AD38:AF38"/>
    <mergeCell ref="V39:X39"/>
    <mergeCell ref="Y39:AA39"/>
    <mergeCell ref="N28:P28"/>
    <mergeCell ref="Q28:S28"/>
    <mergeCell ref="K29:M29"/>
    <mergeCell ref="C30:E30"/>
    <mergeCell ref="G30:I30"/>
    <mergeCell ref="K30:N30"/>
    <mergeCell ref="P30:R30"/>
    <mergeCell ref="S30:U30"/>
    <mergeCell ref="X30:Z30"/>
    <mergeCell ref="AC30:AE30"/>
    <mergeCell ref="S31:U31"/>
    <mergeCell ref="AD31:AF31"/>
    <mergeCell ref="D32:G32"/>
    <mergeCell ref="T32:V32"/>
    <mergeCell ref="W32:Y32"/>
    <mergeCell ref="Z32:AB32"/>
    <mergeCell ref="K33:M33"/>
    <mergeCell ref="O33:Q33"/>
    <mergeCell ref="Y33:AA33"/>
    <mergeCell ref="C25:E25"/>
    <mergeCell ref="G25:I25"/>
    <mergeCell ref="J25:K25"/>
    <mergeCell ref="L25:N25"/>
    <mergeCell ref="O25:P25"/>
    <mergeCell ref="Q25:S25"/>
    <mergeCell ref="T25:U25"/>
    <mergeCell ref="V25:X25"/>
    <mergeCell ref="Z25:AB25"/>
    <mergeCell ref="AC25:AE25"/>
    <mergeCell ref="D26:E26"/>
    <mergeCell ref="F26:H26"/>
    <mergeCell ref="K26:M26"/>
    <mergeCell ref="O26:Q26"/>
    <mergeCell ref="T26:V26"/>
    <mergeCell ref="W26:X26"/>
    <mergeCell ref="Y26:AA26"/>
    <mergeCell ref="AD26:AF26"/>
    <mergeCell ref="D23:G23"/>
    <mergeCell ref="H23:J23"/>
    <mergeCell ref="K23:N23"/>
    <mergeCell ref="P23:R23"/>
    <mergeCell ref="T23:W23"/>
    <mergeCell ref="Y23:AB23"/>
    <mergeCell ref="AC23:AD23"/>
    <mergeCell ref="AE23:AF23"/>
    <mergeCell ref="C24:E24"/>
    <mergeCell ref="G24:I24"/>
    <mergeCell ref="J24:L24"/>
    <mergeCell ref="N24:P24"/>
    <mergeCell ref="Q24:S24"/>
    <mergeCell ref="T24:V24"/>
    <mergeCell ref="W24:X24"/>
    <mergeCell ref="Y24:Z24"/>
    <mergeCell ref="AC24:AE24"/>
    <mergeCell ref="D21:F21"/>
    <mergeCell ref="G21:I21"/>
    <mergeCell ref="J21:K21"/>
    <mergeCell ref="L21:N21"/>
    <mergeCell ref="O21:P21"/>
    <mergeCell ref="Q21:S21"/>
    <mergeCell ref="T21:U21"/>
    <mergeCell ref="V21:X21"/>
    <mergeCell ref="Z21:AB21"/>
    <mergeCell ref="AC21:AE21"/>
    <mergeCell ref="D22:E22"/>
    <mergeCell ref="F22:H22"/>
    <mergeCell ref="K22:M22"/>
    <mergeCell ref="O22:Q22"/>
    <mergeCell ref="T22:V22"/>
    <mergeCell ref="W22:X22"/>
    <mergeCell ref="Y22:AA22"/>
    <mergeCell ref="AD22:AF22"/>
    <mergeCell ref="D17:F17"/>
    <mergeCell ref="M17:N17"/>
    <mergeCell ref="O17:P17"/>
    <mergeCell ref="Q17:S17"/>
    <mergeCell ref="W17:X17"/>
    <mergeCell ref="AA17:AB17"/>
    <mergeCell ref="AD17:AE17"/>
    <mergeCell ref="D18:G18"/>
    <mergeCell ref="H18:J18"/>
    <mergeCell ref="K18:N18"/>
    <mergeCell ref="O18:P18"/>
    <mergeCell ref="Q18:S18"/>
    <mergeCell ref="T18:W18"/>
    <mergeCell ref="Y18:AB18"/>
    <mergeCell ref="AD18:AF18"/>
    <mergeCell ref="D19:E19"/>
    <mergeCell ref="G19:I19"/>
    <mergeCell ref="J19:L19"/>
    <mergeCell ref="P19:R19"/>
    <mergeCell ref="T19:V19"/>
    <mergeCell ref="W19:X19"/>
    <mergeCell ref="Y19:Z19"/>
    <mergeCell ref="AB19:AD19"/>
    <mergeCell ref="F14:H14"/>
    <mergeCell ref="K14:M14"/>
    <mergeCell ref="O14:Q14"/>
    <mergeCell ref="T14:V14"/>
    <mergeCell ref="Y14:AA14"/>
    <mergeCell ref="D15:G15"/>
    <mergeCell ref="H15:J15"/>
    <mergeCell ref="K15:N15"/>
    <mergeCell ref="O15:P15"/>
    <mergeCell ref="Q15:S15"/>
    <mergeCell ref="T15:W15"/>
    <mergeCell ref="Y15:AB15"/>
    <mergeCell ref="AD15:AF15"/>
    <mergeCell ref="G16:I16"/>
    <mergeCell ref="J16:L16"/>
    <mergeCell ref="T16:V16"/>
    <mergeCell ref="X16:Z16"/>
    <mergeCell ref="C9:E9"/>
    <mergeCell ref="K9:M9"/>
    <mergeCell ref="O9:Q9"/>
    <mergeCell ref="S9:U9"/>
    <mergeCell ref="V9:X9"/>
    <mergeCell ref="Y9:AA9"/>
    <mergeCell ref="AC9:AE9"/>
    <mergeCell ref="D12:F12"/>
    <mergeCell ref="G12:I12"/>
    <mergeCell ref="N12:P12"/>
    <mergeCell ref="Q12:S12"/>
    <mergeCell ref="W12:Y12"/>
    <mergeCell ref="Z12:AB12"/>
    <mergeCell ref="AC12:AE12"/>
    <mergeCell ref="C13:E13"/>
    <mergeCell ref="I13:K13"/>
    <mergeCell ref="L13:N13"/>
    <mergeCell ref="S13:U13"/>
    <mergeCell ref="V13:X13"/>
    <mergeCell ref="C2:F2"/>
    <mergeCell ref="AK2:AQ2"/>
    <mergeCell ref="AR2:AW2"/>
    <mergeCell ref="D6:F6"/>
    <mergeCell ref="I6:K6"/>
    <mergeCell ref="Y6:AA6"/>
    <mergeCell ref="AD6:AF6"/>
    <mergeCell ref="D7:G7"/>
    <mergeCell ref="H7:J7"/>
    <mergeCell ref="K7:N7"/>
    <mergeCell ref="P7:R7"/>
    <mergeCell ref="T7:W7"/>
    <mergeCell ref="Y7:AB7"/>
    <mergeCell ref="AD7:AF7"/>
    <mergeCell ref="C8:E8"/>
    <mergeCell ref="G8:I8"/>
    <mergeCell ref="J8:L8"/>
    <mergeCell ref="N8:P8"/>
    <mergeCell ref="Q8:S8"/>
    <mergeCell ref="T8:V8"/>
    <mergeCell ref="X8:Z8"/>
    <mergeCell ref="AB8:AD8"/>
  </mergeCells>
  <phoneticPr fontId="1" type="Hiragana"/>
  <pageMargins left="0.70866141732283472" right="0.23622047244094491" top="0.39370078740157483" bottom="0.27559055118110237" header="0.31496062992125984" footer="0.15748031496062992"/>
  <pageSetup paperSize="8" scale="77" fitToHeight="3" orientation="landscape" r:id="rId1"/>
  <rowBreaks count="2" manualBreakCount="2">
    <brk id="80" min="1" max="33" man="1"/>
    <brk id="159" min="1" max="33" man="1"/>
  </rowBreaks>
  <colBreaks count="1" manualBreakCount="1">
    <brk id="34" max="2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" x14ac:dyDescent="0.2"/>
  <sheetData/>
  <phoneticPr fontId="1" type="Hiragana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 type="Hiragana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Ｒ８上半期</vt:lpstr>
      <vt:lpstr>Sheet2</vt:lpstr>
      <vt:lpstr>Sheet3</vt:lpstr>
      <vt:lpstr>'Ｒ８上半期'!Print_Area</vt:lpstr>
      <vt:lpstr>'Ｒ８上半期'!Print_Titles</vt:lpstr>
    </vt:vector>
  </TitlesOfParts>
  <Company>玉野市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若松  秀敏</dc:creator>
  <cp:lastModifiedBy>西崎 靖弘</cp:lastModifiedBy>
  <cp:lastPrinted>2025-01-26T04:29:34Z</cp:lastPrinted>
  <dcterms:created xsi:type="dcterms:W3CDTF">2020-07-02T06:03:38Z</dcterms:created>
  <dcterms:modified xsi:type="dcterms:W3CDTF">2026-06-23T01:22:39Z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CFEDD21-7773-49B2-8022-6FC58DB5260B}" pid="2" name="SavedVersions">
    <vt:vector size="6" baseType="lpwstr">
      <vt:lpwstr>3.1.10.0</vt:lpwstr>
      <vt:lpwstr>3.1.3.0</vt:lpwstr>
      <vt:lpwstr>3.1.5.0</vt:lpwstr>
      <vt:lpwstr>3.1.6.0</vt:lpwstr>
      <vt:lpwstr>3.1.9.0</vt:lpwstr>
      <vt:lpwstr>6.0.1.0</vt:lpwstr>
    </vt:vector>
  </property>
  <property fmtid="{DCFEDD21-7773-49B2-8022-6FC58DB5260B}" pid="3" name="LastSavedVersion">
    <vt:lpwstr>6.0.1.0</vt:lpwstr>
  </property>
  <property fmtid="{DCFEDD21-7773-49B2-8022-6FC58DB5260B}" pid="4" name="LastSavedDate">
    <vt:filetime>2026-02-11T00:57:17Z</vt:filetime>
  </property>
</Properties>
</file>